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com #1" sheetId="1" r:id="rId5"/>
    <sheet state="visible" name="1. com #2" sheetId="2" r:id="rId6"/>
    <sheet state="visible" name="2. combine and clean" sheetId="3" r:id="rId7"/>
    <sheet state="visible" name="2.RETURNS" sheetId="4" r:id="rId8"/>
    <sheet state="visible" name="descr" sheetId="5" r:id="rId9"/>
    <sheet state="visible" name="z outliers" sheetId="6" r:id="rId10"/>
    <sheet state="visible" name="cov" sheetId="7" r:id="rId11"/>
    <sheet state="visible" name="ratio" sheetId="8" r:id="rId12"/>
    <sheet state="visible" name="chi" sheetId="9" r:id="rId13"/>
    <sheet state="visible" name="F test" sheetId="10" r:id="rId14"/>
    <sheet state="visible" name="regression" sheetId="11" r:id="rId15"/>
    <sheet state="visible" name="regression 2" sheetId="12" r:id="rId16"/>
    <sheet state="visible" name="GSPC" sheetId="13" r:id="rId17"/>
    <sheet state="visible" name="synopsis" sheetId="14" r:id="rId18"/>
  </sheets>
  <definedNames/>
  <calcPr/>
</workbook>
</file>

<file path=xl/sharedStrings.xml><?xml version="1.0" encoding="utf-8"?>
<sst xmlns="http://schemas.openxmlformats.org/spreadsheetml/2006/main" count="143" uniqueCount="70">
  <si>
    <t>Date</t>
  </si>
  <si>
    <t>Open</t>
  </si>
  <si>
    <t>High</t>
  </si>
  <si>
    <t>Low</t>
  </si>
  <si>
    <t>Close</t>
  </si>
  <si>
    <t>Adj Close</t>
  </si>
  <si>
    <t>Volume</t>
  </si>
  <si>
    <t>TESLA</t>
  </si>
  <si>
    <t>Volkswagen</t>
  </si>
  <si>
    <t>6.3 Dividend</t>
  </si>
  <si>
    <t>TSLA</t>
  </si>
  <si>
    <t>VOW.DE</t>
  </si>
  <si>
    <t>Adj Close   Adjusted close price adjusted for splits and dividend and/or capital gain distributions.</t>
  </si>
  <si>
    <t>Daily returns based on adj prices to the left</t>
  </si>
  <si>
    <r>
      <rPr>
        <rFont val="Arial"/>
        <b/>
      </rPr>
      <t xml:space="preserve">wekkly return for  </t>
    </r>
    <r>
      <rPr>
        <rFont val="Arial"/>
        <b/>
        <color rgb="FF1155CC"/>
        <u/>
      </rPr>
      <t>VOW.DE</t>
    </r>
  </si>
  <si>
    <t>wekkly return for  TSLA</t>
  </si>
  <si>
    <t>Max</t>
  </si>
  <si>
    <t>Min</t>
  </si>
  <si>
    <t>range:</t>
  </si>
  <si>
    <t>Q3</t>
  </si>
  <si>
    <t>Q1</t>
  </si>
  <si>
    <t xml:space="preserve">IQR, Interquartile range= q3-q1 </t>
  </si>
  <si>
    <t>Mean</t>
  </si>
  <si>
    <t>Mean Absolute Deviation</t>
  </si>
  <si>
    <t>Sample Variance</t>
  </si>
  <si>
    <t>Sample Standard Deviation</t>
  </si>
  <si>
    <t>CV</t>
  </si>
  <si>
    <t>Fence</t>
  </si>
  <si>
    <t xml:space="preserve">Week </t>
  </si>
  <si>
    <t>MIN</t>
  </si>
  <si>
    <t>MAX</t>
  </si>
  <si>
    <t>Z MIN</t>
  </si>
  <si>
    <t>Z MAX</t>
  </si>
  <si>
    <t>Week</t>
  </si>
  <si>
    <t>TSLA Protfolio returns</t>
  </si>
  <si>
    <r>
      <rPr>
        <rFont val="Arial"/>
        <b/>
        <color rgb="FF000000"/>
      </rPr>
      <t>VOW.DE</t>
    </r>
    <r>
      <rPr>
        <rFont val="Arial"/>
        <b/>
        <color theme="1"/>
      </rPr>
      <t xml:space="preserve"> Portfolio Returns</t>
    </r>
  </si>
  <si>
    <t>dev TSLA</t>
  </si>
  <si>
    <t xml:space="preserve">dev VOW.DE </t>
  </si>
  <si>
    <t>Product</t>
  </si>
  <si>
    <t>Cov</t>
  </si>
  <si>
    <t>Correlation</t>
  </si>
  <si>
    <t>manual</t>
  </si>
  <si>
    <t>stdve</t>
  </si>
  <si>
    <t>T bill</t>
  </si>
  <si>
    <t>Sharpe ratio</t>
  </si>
  <si>
    <t xml:space="preserve">STDEV.S </t>
  </si>
  <si>
    <t xml:space="preserve">STDEV.P </t>
  </si>
  <si>
    <t xml:space="preserve">N </t>
  </si>
  <si>
    <t xml:space="preserve">DOF </t>
  </si>
  <si>
    <t xml:space="preserve">σ₀² </t>
  </si>
  <si>
    <t>χ²</t>
  </si>
  <si>
    <t xml:space="preserve">s² </t>
  </si>
  <si>
    <t>α</t>
  </si>
  <si>
    <t>0.05</t>
  </si>
  <si>
    <t xml:space="preserve">P VALUE </t>
  </si>
  <si>
    <t>Fail to reject H₀.</t>
  </si>
  <si>
    <t>There is not sufficient evidence at the 5 percent level to conclude that the population standard deviation differs from 15 percent.</t>
  </si>
  <si>
    <t>X</t>
  </si>
  <si>
    <t>P VALUE</t>
  </si>
  <si>
    <r>
      <rPr>
        <rFont val="Arial"/>
      </rPr>
      <t xml:space="preserve">We reject the null hypothesis because the p-value = 0.0119 is less  than α = 0.05. Therefore, at the 5% significance level, we can conclude that the TSLA  fund is riskier than the </t>
    </r>
    <r>
      <rPr>
        <rFont val="Arial"/>
        <color rgb="FF1155CC"/>
        <u/>
      </rPr>
      <t>VOW.DE</t>
    </r>
    <r>
      <rPr>
        <rFont val="Arial"/>
      </rPr>
      <t xml:space="preserve"> fund.</t>
    </r>
  </si>
  <si>
    <t>^GSPC FOR TESLA</t>
  </si>
  <si>
    <t>DO NOT CHANGE THIS COLUMN</t>
  </si>
  <si>
    <t>wekkly return for  VOW.DE</t>
  </si>
  <si>
    <t>Synopsis of Introductory Case: Tesla Stock Return Analysis</t>
  </si>
  <si>
    <t>Analyzing stock returns helps investors understand both the potential reward and the level of risk associated with an investment. In this case, weekly data for Tesla stock was analyzed to evaluate its performance and volatility over the observed period. By examining statistical measures such as mean return, standard deviation, the Sharpe ratio, and the coefficient of variation, investors can better assess the attractiveness of the investment.</t>
  </si>
  <si>
    <t>An analysis of weekly Tesla stock data from February 2025 through February 2026 provides useful insights. Over this period, the average weekly return was 0.52%. The mean return reflects the average performance of the stock during the analyzed timeframe and indicates the potential reward an investor might expect if similar conditions continue.</t>
  </si>
  <si>
    <t>However, the mean alone does not fully describe the investment because it does not account for risk. To measure risk, we use the standard deviation, which captures the volatility of returns. Tesla’s weekly returns show a standard deviation of 6.73%, indicating that the stock’s returns fluctuate considerably around the average. This relatively high volatility suggests that Tesla’s stock price experiences significant short-term movements.</t>
  </si>
  <si>
    <t>To better evaluate the balance between risk and return, we calculate the Sharpe ratio, which adjusts returns for risk using a risk-free rate. Assuming a risk-free rate of 2% annually, Tesla’s Sharpe ratio is approximately 0.07. This indicates that the stock provides a modest level of excess return relative to the risk taken by investors.</t>
  </si>
  <si>
    <t>Another useful measure is the coefficient of variation (CV), which expresses the level of risk relative to the expected return. Tesla’s CV is about 13.06, meaning that the variability of returns is much larger than the average return itself. This suggests that although the stock offers positive average returns, it is accompanied by a relatively high level of uncertainty.</t>
  </si>
  <si>
    <t>In summary, the analysis shows that Tesla stock generated a positive average weekly return of about 0.52%, but with considerable volatility. While investors may be attracted by the potential returns, they must also be prepared for substantial fluctuations in performance. As with any financial analysis, past performance does not guarantee future results, and investors should carefully consider both risk and return before making investment decisions.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</si>
</sst>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d/yyyy"/>
    <numFmt numFmtId="165" formatCode="mmm d, yyyy"/>
    <numFmt numFmtId="166" formatCode="mmmm d, yyyy"/>
    <numFmt numFmtId="167" formatCode="#,##0.000"/>
    <numFmt numFmtId="168" formatCode="0.00000"/>
    <numFmt numFmtId="169" formatCode="0.0000%"/>
    <numFmt numFmtId="170" formatCode="#,##0.000000"/>
    <numFmt numFmtId="171" formatCode="#,##0.0000"/>
    <numFmt numFmtId="172" formatCode="0.0"/>
  </numFmts>
  <fonts count="32">
    <font>
      <sz val="10.0"/>
      <color rgb="FF000000"/>
      <name val="Arial"/>
      <scheme val="minor"/>
    </font>
    <font>
      <sz val="9.0"/>
      <color rgb="FF232A31"/>
      <name val="&quot;GT America&quot;"/>
    </font>
    <font>
      <color theme="1"/>
      <name val="Arial"/>
      <scheme val="minor"/>
    </font>
    <font>
      <sz val="11.0"/>
      <color rgb="FF232A31"/>
      <name val="&quot;GT America&quot;"/>
    </font>
    <font>
      <sz val="12.0"/>
      <color rgb="FF232A31"/>
      <name val="&quot;GT America&quot;"/>
    </font>
    <font>
      <sz val="11.0"/>
      <color rgb="FF232A31"/>
      <name val="GT America"/>
    </font>
    <font>
      <b/>
      <sz val="11.0"/>
      <color rgb="FF232A31"/>
      <name val="GT America"/>
    </font>
    <font>
      <b/>
      <sz val="11.0"/>
      <color rgb="FF232A31"/>
      <name val="&quot;GT America&quot;"/>
    </font>
    <font>
      <b/>
      <sz val="12.0"/>
      <color rgb="FF232A31"/>
      <name val="&quot;GT America&quot;"/>
    </font>
    <font>
      <b/>
      <u/>
      <sz val="12.0"/>
      <color rgb="FF232A31"/>
      <name val="&quot;GT America&quot;"/>
    </font>
    <font>
      <b/>
      <sz val="10.0"/>
      <color theme="1"/>
      <name val="Arial"/>
    </font>
    <font>
      <b/>
      <u/>
      <sz val="12.0"/>
      <color rgb="FF232A31"/>
      <name val="&quot;GT America&quot;"/>
    </font>
    <font>
      <color theme="1"/>
      <name val="Arial"/>
    </font>
    <font>
      <b/>
      <u/>
      <color rgb="FF0000FF"/>
      <name val="Arial"/>
    </font>
    <font>
      <b/>
      <color theme="1"/>
      <name val="Arial"/>
    </font>
    <font>
      <b/>
      <color theme="1"/>
      <name val="Arial"/>
      <scheme val="minor"/>
    </font>
    <font>
      <b/>
      <u/>
      <sz val="12.0"/>
      <color rgb="FF232A31"/>
      <name val="&quot;GT America&quot;"/>
    </font>
    <font>
      <b/>
      <color theme="1"/>
      <name val="Aptos Narrow"/>
    </font>
    <font>
      <b/>
      <sz val="9.0"/>
      <color theme="1"/>
      <name val="Arial"/>
    </font>
    <font>
      <color theme="1"/>
      <name val="Aptos Narrow"/>
    </font>
    <font>
      <sz val="10.0"/>
      <color theme="1"/>
      <name val="Arial"/>
    </font>
    <font>
      <color theme="1"/>
      <name val="&quot;Google Sans Text&quot;"/>
    </font>
    <font>
      <b/>
      <color rgb="FFFF0000"/>
      <name val="Arial"/>
    </font>
    <font>
      <b/>
      <color theme="1"/>
      <name val="&quot;Google Sans Text&quot;"/>
    </font>
    <font>
      <u/>
      <color rgb="FF0000FF"/>
      <name val="Arial"/>
    </font>
    <font>
      <b/>
      <color theme="1"/>
      <name val="Roboto"/>
    </font>
    <font>
      <b/>
      <sz val="8.0"/>
      <color theme="1"/>
      <name val="Roboto"/>
    </font>
    <font>
      <sz val="11.0"/>
      <color rgb="FF232A31"/>
      <name val="Arial"/>
    </font>
    <font/>
    <font>
      <sz val="11.0"/>
      <color rgb="FF000000"/>
      <name val="Calibri"/>
    </font>
    <font>
      <color theme="1"/>
      <name val="Roboto"/>
    </font>
    <font>
      <i/>
      <sz val="11.0"/>
      <color rgb="FF000000"/>
      <name val="Calibri"/>
    </font>
  </fonts>
  <fills count="12">
    <fill>
      <patternFill patternType="none"/>
    </fill>
    <fill>
      <patternFill patternType="lightGray"/>
    </fill>
    <fill>
      <patternFill patternType="solid">
        <fgColor rgb="FF00FFFF"/>
        <bgColor rgb="FF00FFFF"/>
      </patternFill>
    </fill>
    <fill>
      <patternFill patternType="solid">
        <fgColor rgb="FFFFFF00"/>
        <bgColor rgb="FFFFFF00"/>
      </patternFill>
    </fill>
    <fill>
      <patternFill patternType="solid">
        <fgColor rgb="FFF2F5F7"/>
        <bgColor rgb="FFF2F5F7"/>
      </patternFill>
    </fill>
    <fill>
      <patternFill patternType="solid">
        <fgColor rgb="FFFFFFFF"/>
        <bgColor rgb="FFFFFFFF"/>
      </patternFill>
    </fill>
    <fill>
      <patternFill patternType="solid">
        <fgColor rgb="FFDDE0E4"/>
        <bgColor rgb="FFDDE0E4"/>
      </patternFill>
    </fill>
    <fill>
      <patternFill patternType="solid">
        <fgColor rgb="FF00FF00"/>
        <bgColor rgb="FF00FF00"/>
      </patternFill>
    </fill>
    <fill>
      <patternFill patternType="solid">
        <fgColor rgb="FFE06666"/>
        <bgColor rgb="FFE06666"/>
      </patternFill>
    </fill>
    <fill>
      <patternFill patternType="solid">
        <fgColor rgb="FFEFEFEF"/>
        <bgColor rgb="FFEFEFEF"/>
      </patternFill>
    </fill>
    <fill>
      <patternFill patternType="solid">
        <fgColor rgb="FFB7B7B7"/>
        <bgColor rgb="FFB7B7B7"/>
      </patternFill>
    </fill>
    <fill>
      <patternFill patternType="solid">
        <fgColor rgb="FFFF00FF"/>
        <bgColor rgb="FFFF00FF"/>
      </patternFill>
    </fill>
  </fills>
  <borders count="13">
    <border/>
    <border>
      <left style="thin">
        <color rgb="FF000000"/>
      </left>
      <right style="thin">
        <color rgb="FF000000"/>
      </right>
      <top style="thin">
        <color rgb="FF000000"/>
      </top>
      <bottom style="thin">
        <color rgb="FF000000"/>
      </bottom>
    </border>
    <border>
      <left/>
      <right/>
      <top/>
      <bottom/>
    </border>
    <border>
      <left/>
      <right/>
      <top/>
    </border>
    <border>
      <left/>
      <right/>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0"/>
    </xf>
    <xf borderId="0" fillId="2" fontId="1" numFmtId="0" xfId="0" applyAlignment="1" applyFont="1">
      <alignment horizontal="right" readingOrder="0" shrinkToFit="0" wrapText="0"/>
    </xf>
    <xf borderId="0" fillId="3" fontId="2" numFmtId="0" xfId="0" applyAlignment="1" applyFill="1" applyFont="1">
      <alignment readingOrder="0"/>
    </xf>
    <xf borderId="0" fillId="4" fontId="3" numFmtId="164" xfId="0" applyAlignment="1" applyFill="1" applyFont="1" applyNumberFormat="1">
      <alignment horizontal="left" readingOrder="0" shrinkToFit="0" wrapText="0"/>
    </xf>
    <xf borderId="0" fillId="4" fontId="3" numFmtId="0" xfId="0" applyAlignment="1" applyFont="1">
      <alignment horizontal="right" readingOrder="0" shrinkToFit="0" wrapText="0"/>
    </xf>
    <xf borderId="0" fillId="4" fontId="3" numFmtId="3" xfId="0" applyAlignment="1" applyFont="1" applyNumberFormat="1">
      <alignment horizontal="right" readingOrder="0" shrinkToFit="0" wrapText="0"/>
    </xf>
    <xf borderId="0" fillId="5" fontId="3" numFmtId="164" xfId="0" applyAlignment="1" applyFill="1" applyFont="1" applyNumberFormat="1">
      <alignment horizontal="left" readingOrder="0" shrinkToFit="0" wrapText="0"/>
    </xf>
    <xf borderId="0" fillId="5" fontId="3" numFmtId="0" xfId="0" applyAlignment="1" applyFont="1">
      <alignment horizontal="right" readingOrder="0" shrinkToFit="0" wrapText="0"/>
    </xf>
    <xf borderId="0" fillId="5" fontId="3" numFmtId="3" xfId="0" applyAlignment="1" applyFont="1" applyNumberFormat="1">
      <alignment horizontal="right" readingOrder="0" shrinkToFit="0" wrapText="0"/>
    </xf>
    <xf borderId="0" fillId="6" fontId="3" numFmtId="164" xfId="0" applyAlignment="1" applyFill="1" applyFont="1" applyNumberFormat="1">
      <alignment horizontal="left" readingOrder="0" shrinkToFit="0" wrapText="0"/>
    </xf>
    <xf borderId="0" fillId="6" fontId="3" numFmtId="0" xfId="0" applyAlignment="1" applyFont="1">
      <alignment horizontal="right" readingOrder="0" shrinkToFit="0" wrapText="0"/>
    </xf>
    <xf borderId="0" fillId="6" fontId="3" numFmtId="3" xfId="0" applyAlignment="1" applyFont="1" applyNumberFormat="1">
      <alignment horizontal="right" readingOrder="0" shrinkToFit="0" wrapText="0"/>
    </xf>
    <xf borderId="0" fillId="3" fontId="4" numFmtId="0" xfId="0" applyAlignment="1" applyFont="1">
      <alignment horizontal="left" readingOrder="0" shrinkToFit="0" wrapText="0"/>
    </xf>
    <xf borderId="0" fillId="5" fontId="5" numFmtId="164" xfId="0" applyAlignment="1" applyFont="1" applyNumberFormat="1">
      <alignment vertical="bottom"/>
    </xf>
    <xf borderId="0" fillId="5" fontId="5" numFmtId="0" xfId="0" applyAlignment="1" applyFont="1">
      <alignment horizontal="right" vertical="bottom"/>
    </xf>
    <xf borderId="0" fillId="5" fontId="5" numFmtId="3" xfId="0" applyAlignment="1" applyFont="1" applyNumberFormat="1">
      <alignment horizontal="right" vertical="bottom"/>
    </xf>
    <xf borderId="0" fillId="5" fontId="4" numFmtId="0" xfId="0" applyAlignment="1" applyFont="1">
      <alignment horizontal="left" readingOrder="0" shrinkToFit="0" wrapText="0"/>
    </xf>
    <xf borderId="0" fillId="5" fontId="1" numFmtId="0" xfId="0" applyAlignment="1" applyFont="1">
      <alignment horizontal="right" readingOrder="0" shrinkToFit="0" wrapText="0"/>
    </xf>
    <xf borderId="0" fillId="4" fontId="5" numFmtId="164" xfId="0" applyAlignment="1" applyFont="1" applyNumberFormat="1">
      <alignment vertical="bottom"/>
    </xf>
    <xf borderId="0" fillId="4" fontId="5" numFmtId="0" xfId="0" applyAlignment="1" applyFont="1">
      <alignment horizontal="right" vertical="bottom"/>
    </xf>
    <xf borderId="0" fillId="4" fontId="5" numFmtId="3" xfId="0" applyAlignment="1" applyFont="1" applyNumberFormat="1">
      <alignment horizontal="right" vertical="bottom"/>
    </xf>
    <xf borderId="0" fillId="5" fontId="3" numFmtId="165" xfId="0" applyAlignment="1" applyFont="1" applyNumberFormat="1">
      <alignment horizontal="left" readingOrder="0" shrinkToFit="0" wrapText="0"/>
    </xf>
    <xf borderId="0" fillId="4" fontId="6" numFmtId="0" xfId="0" applyAlignment="1" applyFont="1">
      <alignment horizontal="center" vertical="bottom"/>
    </xf>
    <xf borderId="0" fillId="5" fontId="3" numFmtId="166" xfId="0" applyAlignment="1" applyFont="1" applyNumberFormat="1">
      <alignment horizontal="left" readingOrder="0" shrinkToFit="0" wrapText="0"/>
    </xf>
    <xf borderId="0" fillId="5" fontId="7" numFmtId="0" xfId="0" applyAlignment="1" applyFont="1">
      <alignment horizontal="center" readingOrder="0" shrinkToFit="0" wrapText="0"/>
    </xf>
    <xf borderId="0" fillId="6" fontId="5" numFmtId="164" xfId="0" applyAlignment="1" applyFont="1" applyNumberFormat="1">
      <alignment vertical="bottom"/>
    </xf>
    <xf borderId="0" fillId="6" fontId="5" numFmtId="0" xfId="0" applyAlignment="1" applyFont="1">
      <alignment horizontal="right" vertical="bottom"/>
    </xf>
    <xf borderId="0" fillId="6" fontId="5" numFmtId="3" xfId="0" applyAlignment="1" applyFont="1" applyNumberFormat="1">
      <alignment horizontal="right" vertical="bottom"/>
    </xf>
    <xf borderId="0" fillId="3" fontId="1" numFmtId="0" xfId="0" applyAlignment="1" applyFont="1">
      <alignment horizontal="left" readingOrder="0" shrinkToFit="0" wrapText="0"/>
    </xf>
    <xf borderId="0" fillId="3" fontId="8" numFmtId="0" xfId="0" applyAlignment="1" applyFont="1">
      <alignment readingOrder="0"/>
    </xf>
    <xf borderId="0" fillId="3" fontId="9" numFmtId="0" xfId="0" applyAlignment="1" applyFont="1">
      <alignment readingOrder="0"/>
    </xf>
    <xf borderId="0" fillId="7" fontId="10" numFmtId="4" xfId="0" applyAlignment="1" applyFill="1" applyFont="1" applyNumberFormat="1">
      <alignment horizontal="center" shrinkToFit="0" vertical="top" wrapText="1"/>
    </xf>
    <xf borderId="0" fillId="2" fontId="8" numFmtId="0" xfId="0" applyAlignment="1" applyFont="1">
      <alignment readingOrder="0"/>
    </xf>
    <xf borderId="0" fillId="2" fontId="11" numFmtId="0" xfId="0" applyAlignment="1" applyFont="1">
      <alignment readingOrder="0"/>
    </xf>
    <xf borderId="0" fillId="8" fontId="12" numFmtId="10" xfId="0" applyAlignment="1" applyFill="1" applyFont="1" applyNumberFormat="1">
      <alignment horizontal="left" readingOrder="0" shrinkToFit="0" wrapText="1"/>
    </xf>
    <xf borderId="0" fillId="7" fontId="3" numFmtId="0" xfId="0" applyAlignment="1" applyFont="1">
      <alignment horizontal="right" readingOrder="0" shrinkToFit="0" wrapText="0"/>
    </xf>
    <xf borderId="0" fillId="2" fontId="3" numFmtId="10" xfId="0" applyAlignment="1" applyFont="1" applyNumberFormat="1">
      <alignment horizontal="right" readingOrder="0" shrinkToFit="0" wrapText="0"/>
    </xf>
    <xf borderId="0" fillId="8" fontId="3" numFmtId="10" xfId="0" applyAlignment="1" applyFont="1" applyNumberFormat="1">
      <alignment horizontal="right" readingOrder="0" shrinkToFit="0" wrapText="0"/>
    </xf>
    <xf borderId="0" fillId="5" fontId="3" numFmtId="10" xfId="0" applyAlignment="1" applyFont="1" applyNumberFormat="1">
      <alignment horizontal="right" readingOrder="0" shrinkToFit="0" wrapText="0"/>
    </xf>
    <xf borderId="0" fillId="7" fontId="13" numFmtId="0" xfId="0" applyAlignment="1" applyFont="1">
      <alignment readingOrder="0" shrinkToFit="0" vertical="bottom" wrapText="1"/>
    </xf>
    <xf borderId="0" fillId="7" fontId="14" numFmtId="0" xfId="0" applyAlignment="1" applyFont="1">
      <alignment readingOrder="0" shrinkToFit="0" vertical="bottom" wrapText="1"/>
    </xf>
    <xf borderId="0" fillId="7" fontId="3" numFmtId="10" xfId="0" applyAlignment="1" applyFont="1" applyNumberFormat="1">
      <alignment horizontal="right" readingOrder="0" shrinkToFit="0" wrapText="0"/>
    </xf>
    <xf borderId="0" fillId="7" fontId="2" numFmtId="10" xfId="0" applyFont="1" applyNumberFormat="1"/>
    <xf borderId="0" fillId="2" fontId="3" numFmtId="0" xfId="0" applyAlignment="1" applyFont="1">
      <alignment horizontal="right" readingOrder="0" shrinkToFit="0" wrapText="0"/>
    </xf>
    <xf borderId="0" fillId="7" fontId="2" numFmtId="0" xfId="0" applyFont="1"/>
    <xf borderId="0" fillId="7" fontId="3" numFmtId="3" xfId="0" applyAlignment="1" applyFont="1" applyNumberFormat="1">
      <alignment horizontal="right" readingOrder="0" shrinkToFit="0" wrapText="0"/>
    </xf>
    <xf borderId="1" fillId="0" fontId="15" numFmtId="0" xfId="0" applyBorder="1" applyFont="1"/>
    <xf borderId="1" fillId="2" fontId="8" numFmtId="0" xfId="0" applyAlignment="1" applyBorder="1" applyFont="1">
      <alignment readingOrder="0"/>
    </xf>
    <xf borderId="1" fillId="2" fontId="16" numFmtId="0" xfId="0" applyAlignment="1" applyBorder="1" applyFont="1">
      <alignment readingOrder="0"/>
    </xf>
    <xf borderId="1" fillId="0" fontId="14" numFmtId="0" xfId="0" applyAlignment="1" applyBorder="1" applyFont="1">
      <alignment vertical="bottom"/>
    </xf>
    <xf borderId="1" fillId="0" fontId="2" numFmtId="10" xfId="0" applyBorder="1" applyFont="1" applyNumberFormat="1"/>
    <xf borderId="1" fillId="0" fontId="17" numFmtId="0" xfId="0" applyAlignment="1" applyBorder="1" applyFont="1">
      <alignment vertical="bottom"/>
    </xf>
    <xf borderId="1" fillId="0" fontId="2" numFmtId="0" xfId="0" applyBorder="1" applyFont="1"/>
    <xf borderId="1" fillId="0" fontId="18" numFmtId="0" xfId="0" applyAlignment="1" applyBorder="1" applyFont="1">
      <alignment vertical="bottom"/>
    </xf>
    <xf borderId="1" fillId="0" fontId="2" numFmtId="0" xfId="0" applyAlignment="1" applyBorder="1" applyFont="1">
      <alignment readingOrder="0"/>
    </xf>
    <xf borderId="1" fillId="0" fontId="2" numFmtId="167" xfId="0" applyBorder="1" applyFont="1" applyNumberFormat="1"/>
    <xf borderId="0" fillId="0" fontId="2" numFmtId="0" xfId="0" applyAlignment="1" applyFont="1">
      <alignment readingOrder="0"/>
    </xf>
    <xf borderId="0" fillId="0" fontId="2" numFmtId="0" xfId="0" applyFont="1"/>
    <xf borderId="1" fillId="2" fontId="2" numFmtId="0" xfId="0" applyAlignment="1" applyBorder="1" applyFont="1">
      <alignment readingOrder="0"/>
    </xf>
    <xf borderId="1" fillId="0" fontId="19" numFmtId="0" xfId="0" applyAlignment="1" applyBorder="1" applyFont="1">
      <alignment vertical="bottom"/>
    </xf>
    <xf borderId="0" fillId="5" fontId="20" numFmtId="0" xfId="0" applyAlignment="1" applyFont="1">
      <alignment readingOrder="0"/>
    </xf>
    <xf borderId="0" fillId="5" fontId="2" numFmtId="0" xfId="0" applyFont="1"/>
    <xf borderId="1" fillId="0" fontId="2" numFmtId="10" xfId="0" applyAlignment="1" applyBorder="1" applyFont="1" applyNumberFormat="1">
      <alignment readingOrder="0"/>
    </xf>
    <xf borderId="1" fillId="7" fontId="14" numFmtId="10" xfId="0" applyAlignment="1" applyBorder="1" applyFont="1" applyNumberFormat="1">
      <alignment horizontal="center" vertical="bottom"/>
    </xf>
    <xf borderId="1" fillId="7" fontId="12" numFmtId="10" xfId="0" applyAlignment="1" applyBorder="1" applyFont="1" applyNumberFormat="1">
      <alignment horizontal="center" vertical="bottom"/>
    </xf>
    <xf borderId="0" fillId="5" fontId="21" numFmtId="0" xfId="0" applyAlignment="1" applyFont="1">
      <alignment readingOrder="0"/>
    </xf>
    <xf borderId="1" fillId="0" fontId="14" numFmtId="10" xfId="0" applyAlignment="1" applyBorder="1" applyFont="1" applyNumberFormat="1">
      <alignment horizontal="center" vertical="bottom"/>
    </xf>
    <xf borderId="0" fillId="5" fontId="20" numFmtId="0" xfId="0" applyAlignment="1" applyFont="1">
      <alignment shrinkToFit="0" wrapText="1"/>
    </xf>
    <xf borderId="1" fillId="0" fontId="22" numFmtId="10" xfId="0" applyAlignment="1" applyBorder="1" applyFont="1" applyNumberFormat="1">
      <alignment horizontal="center" vertical="bottom"/>
    </xf>
    <xf borderId="0" fillId="5" fontId="2" numFmtId="0" xfId="0" applyAlignment="1" applyFont="1">
      <alignment readingOrder="0"/>
    </xf>
    <xf borderId="0" fillId="5" fontId="23" numFmtId="0" xfId="0" applyAlignment="1" applyFont="1">
      <alignment readingOrder="0"/>
    </xf>
    <xf borderId="1" fillId="5" fontId="2" numFmtId="0" xfId="0" applyAlignment="1" applyBorder="1" applyFont="1">
      <alignment readingOrder="0"/>
    </xf>
    <xf borderId="0" fillId="5" fontId="2" numFmtId="2" xfId="0" applyFont="1" applyNumberFormat="1"/>
    <xf borderId="0" fillId="5" fontId="2" numFmtId="4" xfId="0" applyFont="1" applyNumberFormat="1"/>
    <xf borderId="1" fillId="0" fontId="14" numFmtId="0" xfId="0" applyAlignment="1" applyBorder="1" applyFont="1">
      <alignment horizontal="center" readingOrder="0" shrinkToFit="0" vertical="top" wrapText="1"/>
    </xf>
    <xf borderId="1" fillId="0" fontId="14" numFmtId="0" xfId="0" applyAlignment="1" applyBorder="1" applyFont="1">
      <alignment horizontal="center" readingOrder="0" shrinkToFit="0" vertical="top" wrapText="1"/>
    </xf>
    <xf borderId="1" fillId="0" fontId="14" numFmtId="4" xfId="0" applyAlignment="1" applyBorder="1" applyFont="1" applyNumberFormat="1">
      <alignment horizontal="center" readingOrder="0" shrinkToFit="0" vertical="top" wrapText="1"/>
    </xf>
    <xf borderId="1" fillId="0" fontId="14" numFmtId="168" xfId="0" applyAlignment="1" applyBorder="1" applyFont="1" applyNumberFormat="1">
      <alignment horizontal="center" shrinkToFit="0" vertical="top" wrapText="1"/>
    </xf>
    <xf borderId="0" fillId="0" fontId="19" numFmtId="2" xfId="0" applyAlignment="1" applyFont="1" applyNumberFormat="1">
      <alignment vertical="top"/>
    </xf>
    <xf borderId="0" fillId="0" fontId="2" numFmtId="4" xfId="0" applyAlignment="1" applyFont="1" applyNumberFormat="1">
      <alignment readingOrder="0"/>
    </xf>
    <xf borderId="1" fillId="0" fontId="2" numFmtId="169" xfId="0" applyBorder="1" applyFont="1" applyNumberFormat="1"/>
    <xf borderId="2" fillId="9" fontId="14" numFmtId="4" xfId="0" applyAlignment="1" applyBorder="1" applyFill="1" applyFont="1" applyNumberFormat="1">
      <alignment horizontal="center" vertical="bottom"/>
    </xf>
    <xf borderId="2" fillId="9" fontId="14" numFmtId="170" xfId="0" applyAlignment="1" applyBorder="1" applyFont="1" applyNumberFormat="1">
      <alignment horizontal="center" vertical="bottom"/>
    </xf>
    <xf borderId="0" fillId="0" fontId="2" numFmtId="10" xfId="0" applyFont="1" applyNumberFormat="1"/>
    <xf borderId="2" fillId="9" fontId="19" numFmtId="4" xfId="0" applyAlignment="1" applyBorder="1" applyFont="1" applyNumberFormat="1">
      <alignment vertical="bottom"/>
    </xf>
    <xf borderId="0" fillId="0" fontId="2" numFmtId="168" xfId="0" applyFont="1" applyNumberFormat="1"/>
    <xf borderId="2" fillId="10" fontId="14" numFmtId="2" xfId="0" applyAlignment="1" applyBorder="1" applyFill="1" applyFont="1" applyNumberFormat="1">
      <alignment horizontal="right" vertical="bottom"/>
    </xf>
    <xf borderId="2" fillId="10" fontId="14" numFmtId="2" xfId="0" applyAlignment="1" applyBorder="1" applyFont="1" applyNumberFormat="1">
      <alignment readingOrder="0" vertical="bottom"/>
    </xf>
    <xf borderId="0" fillId="0" fontId="2" numFmtId="4" xfId="0" applyFont="1" applyNumberFormat="1"/>
    <xf borderId="0" fillId="0" fontId="14" numFmtId="0" xfId="0" applyAlignment="1" applyFont="1">
      <alignment vertical="bottom"/>
    </xf>
    <xf borderId="0" fillId="0" fontId="12" numFmtId="171" xfId="0" applyAlignment="1" applyFont="1" applyNumberFormat="1">
      <alignment horizontal="right" vertical="bottom"/>
    </xf>
    <xf borderId="0" fillId="0" fontId="12" numFmtId="3" xfId="0" applyAlignment="1" applyFont="1" applyNumberFormat="1">
      <alignment horizontal="right" vertical="bottom"/>
    </xf>
    <xf borderId="0" fillId="0" fontId="12" numFmtId="0" xfId="0" applyAlignment="1" applyFont="1">
      <alignment horizontal="right" vertical="bottom"/>
    </xf>
    <xf borderId="0" fillId="0" fontId="12" numFmtId="0" xfId="0" applyAlignment="1" applyFont="1">
      <alignment vertical="bottom"/>
    </xf>
    <xf borderId="0" fillId="0" fontId="12" numFmtId="172" xfId="0" applyAlignment="1" applyFont="1" applyNumberFormat="1">
      <alignment horizontal="right" vertical="bottom"/>
    </xf>
    <xf borderId="0" fillId="0" fontId="24" numFmtId="0" xfId="0" applyAlignment="1" applyFont="1">
      <alignment readingOrder="0" vertical="bottom"/>
    </xf>
    <xf borderId="2" fillId="11" fontId="25" numFmtId="0" xfId="0" applyAlignment="1" applyBorder="1" applyFill="1" applyFont="1">
      <alignment horizontal="center" shrinkToFit="0" vertical="top" wrapText="1"/>
    </xf>
    <xf borderId="0" fillId="11" fontId="2" numFmtId="164" xfId="0" applyAlignment="1" applyFont="1" applyNumberFormat="1">
      <alignment readingOrder="0"/>
    </xf>
    <xf borderId="0" fillId="11" fontId="25" numFmtId="4" xfId="0" applyAlignment="1" applyFont="1" applyNumberFormat="1">
      <alignment readingOrder="0" shrinkToFit="0" vertical="bottom" wrapText="1"/>
    </xf>
    <xf borderId="0" fillId="11" fontId="12" numFmtId="3" xfId="0" applyAlignment="1" applyFont="1" applyNumberFormat="1">
      <alignment readingOrder="0"/>
    </xf>
    <xf borderId="0" fillId="5" fontId="1" numFmtId="164" xfId="0" applyAlignment="1" applyFont="1" applyNumberFormat="1">
      <alignment horizontal="left" readingOrder="0" shrinkToFit="0" wrapText="0"/>
    </xf>
    <xf borderId="3" fillId="11" fontId="26" numFmtId="0" xfId="0" applyAlignment="1" applyBorder="1" applyFont="1">
      <alignment horizontal="center" shrinkToFit="0" vertical="top" wrapText="1"/>
    </xf>
    <xf borderId="0" fillId="4" fontId="27" numFmtId="164" xfId="0" applyAlignment="1" applyFont="1" applyNumberFormat="1">
      <alignment readingOrder="0" vertical="bottom"/>
    </xf>
    <xf borderId="0" fillId="0" fontId="2" numFmtId="3" xfId="0" applyFont="1" applyNumberFormat="1"/>
    <xf borderId="0" fillId="0" fontId="2" numFmtId="10" xfId="0" applyAlignment="1" applyFont="1" applyNumberFormat="1">
      <alignment readingOrder="0"/>
    </xf>
    <xf borderId="0" fillId="5" fontId="3" numFmtId="4" xfId="0" applyAlignment="1" applyFont="1" applyNumberFormat="1">
      <alignment horizontal="right" readingOrder="0" shrinkToFit="0" wrapText="0"/>
    </xf>
    <xf borderId="4" fillId="0" fontId="28" numFmtId="0" xfId="0" applyBorder="1" applyFont="1"/>
    <xf borderId="0" fillId="0" fontId="29" numFmtId="4" xfId="0" applyAlignment="1" applyFont="1" applyNumberFormat="1">
      <alignment shrinkToFit="0" vertical="bottom" wrapText="0"/>
    </xf>
    <xf borderId="0" fillId="0" fontId="29" numFmtId="0" xfId="0" applyAlignment="1" applyFont="1">
      <alignment shrinkToFit="0" vertical="bottom" wrapText="0"/>
    </xf>
    <xf borderId="2" fillId="11" fontId="30" numFmtId="0" xfId="0" applyAlignment="1" applyBorder="1" applyFont="1">
      <alignment horizontal="center" vertical="top"/>
    </xf>
    <xf borderId="0" fillId="0" fontId="29" numFmtId="3" xfId="0" applyAlignment="1" applyFont="1" applyNumberFormat="1">
      <alignment shrinkToFit="0" vertical="bottom" wrapText="0"/>
    </xf>
    <xf borderId="0" fillId="0" fontId="31" numFmtId="3" xfId="0" applyAlignment="1" applyFont="1" applyNumberFormat="1">
      <alignment horizontal="center" readingOrder="0" shrinkToFit="0" vertical="bottom" wrapText="0"/>
    </xf>
    <xf borderId="0" fillId="0" fontId="29" numFmtId="3" xfId="0" applyAlignment="1" applyFont="1" applyNumberFormat="1">
      <alignment horizontal="right" readingOrder="0" shrinkToFit="0" vertical="bottom" wrapText="0"/>
    </xf>
    <xf borderId="0" fillId="0" fontId="2" numFmtId="164" xfId="0" applyFont="1" applyNumberFormat="1"/>
    <xf borderId="0" fillId="0" fontId="2" numFmtId="167" xfId="0" applyAlignment="1" applyFont="1" applyNumberFormat="1">
      <alignment readingOrder="0"/>
    </xf>
    <xf borderId="0" fillId="5" fontId="1" numFmtId="0" xfId="0" applyAlignment="1" applyFont="1">
      <alignment horizontal="left" readingOrder="0" shrinkToFit="0" wrapText="0"/>
    </xf>
    <xf borderId="0" fillId="4" fontId="3" numFmtId="165" xfId="0" applyAlignment="1" applyFont="1" applyNumberFormat="1">
      <alignment horizontal="left" readingOrder="0" shrinkToFit="0" wrapText="0"/>
    </xf>
    <xf borderId="0" fillId="4" fontId="3" numFmtId="4" xfId="0" applyAlignment="1" applyFont="1" applyNumberFormat="1">
      <alignment horizontal="right" readingOrder="0" shrinkToFit="0" wrapText="0"/>
    </xf>
    <xf borderId="0" fillId="4" fontId="3" numFmtId="166" xfId="0" applyAlignment="1" applyFont="1" applyNumberFormat="1">
      <alignment horizontal="left" readingOrder="0" shrinkToFit="0" wrapText="0"/>
    </xf>
    <xf borderId="0" fillId="0" fontId="15" numFmtId="0" xfId="0" applyAlignment="1" applyFont="1">
      <alignment readingOrder="0"/>
    </xf>
    <xf borderId="5" fillId="0" fontId="2" numFmtId="0" xfId="0" applyAlignment="1" applyBorder="1" applyFont="1">
      <alignment readingOrder="0" shrinkToFit="0" wrapText="1"/>
    </xf>
    <xf borderId="6" fillId="0" fontId="28" numFmtId="0" xfId="0" applyBorder="1" applyFont="1"/>
    <xf borderId="7" fillId="0" fontId="28" numFmtId="0" xfId="0" applyBorder="1" applyFont="1"/>
    <xf borderId="8" fillId="0" fontId="28" numFmtId="0" xfId="0" applyBorder="1" applyFont="1"/>
    <xf borderId="9" fillId="0" fontId="28" numFmtId="0" xfId="0" applyBorder="1" applyFont="1"/>
    <xf borderId="10" fillId="0" fontId="28" numFmtId="0" xfId="0" applyBorder="1" applyFont="1"/>
    <xf borderId="11" fillId="0" fontId="28" numFmtId="0" xfId="0" applyBorder="1" applyFont="1"/>
    <xf borderId="12" fillId="0" fontId="2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VOW.DE Portfolio Returns vs. TSLA Protfolio returns</a:t>
            </a:r>
          </a:p>
        </c:rich>
      </c:tx>
      <c:overlay val="0"/>
    </c:title>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cov!$B$1:$B$53</c:f>
            </c:numRef>
          </c:xVal>
          <c:yVal>
            <c:numRef>
              <c:f>cov!$C$1:$C$53</c:f>
              <c:numCache/>
            </c:numRef>
          </c:yVal>
        </c:ser>
        <c:dLbls>
          <c:showLegendKey val="0"/>
          <c:showVal val="0"/>
          <c:showCatName val="0"/>
          <c:showSerName val="0"/>
          <c:showPercent val="0"/>
          <c:showBubbleSize val="0"/>
        </c:dLbls>
        <c:axId val="1040905167"/>
        <c:axId val="182675003"/>
      </c:scatterChart>
      <c:valAx>
        <c:axId val="104090516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TSLA Protfolio returns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2675003"/>
      </c:valAx>
      <c:valAx>
        <c:axId val="1826750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VOW.DE Portfolio Returns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0905167"/>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933450</xdr:colOff>
      <xdr:row>7</xdr:row>
      <xdr:rowOff>190500</xdr:rowOff>
    </xdr:from>
    <xdr:ext cx="4552950" cy="28098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923925</xdr:colOff>
      <xdr:row>0</xdr:row>
      <xdr:rowOff>0</xdr:rowOff>
    </xdr:from>
    <xdr:ext cx="8505825" cy="47434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3</xdr:row>
      <xdr:rowOff>0</xdr:rowOff>
    </xdr:from>
    <xdr:ext cx="7610475" cy="45339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vow.de" TargetMode="External"/><Relationship Id="rId2" Type="http://schemas.openxmlformats.org/officeDocument/2006/relationships/hyperlink" Target="http://vow.de"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vow.de" TargetMode="External"/><Relationship Id="rId2" Type="http://schemas.openxmlformats.org/officeDocument/2006/relationships/hyperlink" Target="http://vow.de" TargetMode="External"/><Relationship Id="rId3" Type="http://schemas.openxmlformats.org/officeDocument/2006/relationships/hyperlink" Target="http://vow.de/"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vow.de" TargetMode="External"/><Relationship Id="rId2" Type="http://schemas.openxmlformats.org/officeDocument/2006/relationships/hyperlink" Target="http://vow.de"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vow.de" TargetMode="External"/><Relationship Id="rId2" Type="http://schemas.openxmlformats.org/officeDocument/2006/relationships/hyperlink" Target="http://vow.de"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vow.de"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vow.de" TargetMode="External"/><Relationship Id="rId2" Type="http://schemas.openxmlformats.org/officeDocument/2006/relationships/hyperlink" Target="http://vow.de"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vow.de" TargetMode="External"/><Relationship Id="rId2" Type="http://schemas.openxmlformats.org/officeDocument/2006/relationships/hyperlink" Target="http://vow.de"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vow.de" TargetMode="External"/><Relationship Id="rId2" Type="http://schemas.openxmlformats.org/officeDocument/2006/relationships/hyperlink" Target="http://vow.de" TargetMode="External"/><Relationship Id="rId3" Type="http://schemas.openxmlformats.org/officeDocument/2006/relationships/hyperlink" Target="http://vow.de/"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ht="45.0" customHeight="1">
      <c r="A1" s="1" t="s">
        <v>0</v>
      </c>
      <c r="B1" s="2" t="s">
        <v>1</v>
      </c>
      <c r="C1" s="2" t="s">
        <v>2</v>
      </c>
      <c r="D1" s="2" t="s">
        <v>3</v>
      </c>
      <c r="E1" s="2" t="s">
        <v>4</v>
      </c>
      <c r="F1" s="2" t="s">
        <v>5</v>
      </c>
      <c r="G1" s="2" t="s">
        <v>6</v>
      </c>
      <c r="I1" s="3" t="s">
        <v>7</v>
      </c>
    </row>
    <row r="2">
      <c r="A2" s="4">
        <v>46055.0</v>
      </c>
      <c r="B2" s="5">
        <v>421.29</v>
      </c>
      <c r="C2" s="5">
        <v>427.15</v>
      </c>
      <c r="D2" s="5">
        <v>414.5</v>
      </c>
      <c r="E2" s="5">
        <v>421.81</v>
      </c>
      <c r="F2" s="5">
        <v>421.81</v>
      </c>
      <c r="G2" s="6">
        <v>5.84955E7</v>
      </c>
    </row>
    <row r="3">
      <c r="A3" s="7">
        <v>46048.0</v>
      </c>
      <c r="B3" s="8">
        <v>445.0</v>
      </c>
      <c r="C3" s="8">
        <v>445.04</v>
      </c>
      <c r="D3" s="8">
        <v>414.62</v>
      </c>
      <c r="E3" s="8">
        <v>430.41</v>
      </c>
      <c r="F3" s="8">
        <v>430.41</v>
      </c>
      <c r="G3" s="9">
        <v>3.063001E8</v>
      </c>
    </row>
    <row r="4">
      <c r="A4" s="4">
        <v>46041.0</v>
      </c>
      <c r="B4" s="5">
        <v>429.36</v>
      </c>
      <c r="C4" s="5">
        <v>452.43</v>
      </c>
      <c r="D4" s="5">
        <v>417.44</v>
      </c>
      <c r="E4" s="5">
        <v>449.06</v>
      </c>
      <c r="F4" s="5">
        <v>449.06</v>
      </c>
      <c r="G4" s="6">
        <v>2.596294E8</v>
      </c>
    </row>
    <row r="5">
      <c r="A5" s="7">
        <v>46034.0</v>
      </c>
      <c r="B5" s="8">
        <v>441.23</v>
      </c>
      <c r="C5" s="8">
        <v>454.3</v>
      </c>
      <c r="D5" s="8">
        <v>434.22</v>
      </c>
      <c r="E5" s="8">
        <v>437.5</v>
      </c>
      <c r="F5" s="8">
        <v>437.5</v>
      </c>
      <c r="G5" s="9">
        <v>2.823147E8</v>
      </c>
    </row>
    <row r="6">
      <c r="A6" s="4">
        <v>46027.0</v>
      </c>
      <c r="B6" s="5">
        <v>447.99</v>
      </c>
      <c r="C6" s="5">
        <v>457.55</v>
      </c>
      <c r="D6" s="5">
        <v>424.37</v>
      </c>
      <c r="E6" s="5">
        <v>445.01</v>
      </c>
      <c r="F6" s="5">
        <v>445.01</v>
      </c>
      <c r="G6" s="6">
        <v>3.41236E8</v>
      </c>
    </row>
    <row r="7">
      <c r="A7" s="7">
        <v>46020.0</v>
      </c>
      <c r="B7" s="8">
        <v>469.0</v>
      </c>
      <c r="C7" s="8">
        <v>469.4</v>
      </c>
      <c r="D7" s="8">
        <v>435.3</v>
      </c>
      <c r="E7" s="8">
        <v>438.07</v>
      </c>
      <c r="F7" s="8">
        <v>438.07</v>
      </c>
      <c r="G7" s="9">
        <v>2.601149E8</v>
      </c>
    </row>
    <row r="8">
      <c r="A8" s="4">
        <v>46013.0</v>
      </c>
      <c r="B8" s="5">
        <v>489.88</v>
      </c>
      <c r="C8" s="5">
        <v>498.83</v>
      </c>
      <c r="D8" s="5">
        <v>473.82</v>
      </c>
      <c r="E8" s="5">
        <v>475.19</v>
      </c>
      <c r="F8" s="5">
        <v>475.19</v>
      </c>
      <c r="G8" s="6">
        <v>2.452058E8</v>
      </c>
    </row>
    <row r="9">
      <c r="A9" s="7">
        <v>46006.0</v>
      </c>
      <c r="B9" s="8">
        <v>469.44</v>
      </c>
      <c r="C9" s="8">
        <v>495.28</v>
      </c>
      <c r="D9" s="8">
        <v>465.83</v>
      </c>
      <c r="E9" s="8">
        <v>481.2</v>
      </c>
      <c r="F9" s="8">
        <v>481.2</v>
      </c>
      <c r="G9" s="9">
        <v>5.271145E8</v>
      </c>
    </row>
    <row r="10">
      <c r="A10" s="4">
        <v>45999.0</v>
      </c>
      <c r="B10" s="5">
        <v>447.45</v>
      </c>
      <c r="C10" s="5">
        <v>463.01</v>
      </c>
      <c r="D10" s="5">
        <v>435.25</v>
      </c>
      <c r="E10" s="5">
        <v>458.96</v>
      </c>
      <c r="F10" s="5">
        <v>458.96</v>
      </c>
      <c r="G10" s="6">
        <v>3.464269E8</v>
      </c>
    </row>
    <row r="11">
      <c r="A11" s="7">
        <v>45992.0</v>
      </c>
      <c r="B11" s="8">
        <v>425.32</v>
      </c>
      <c r="C11" s="8">
        <v>458.87</v>
      </c>
      <c r="D11" s="8">
        <v>422.12</v>
      </c>
      <c r="E11" s="8">
        <v>455.0</v>
      </c>
      <c r="F11" s="8">
        <v>455.0</v>
      </c>
      <c r="G11" s="9">
        <v>3.426172E8</v>
      </c>
    </row>
    <row r="12">
      <c r="A12" s="4">
        <v>45985.0</v>
      </c>
      <c r="B12" s="5">
        <v>402.17</v>
      </c>
      <c r="C12" s="5">
        <v>432.93</v>
      </c>
      <c r="D12" s="5">
        <v>401.09</v>
      </c>
      <c r="E12" s="5">
        <v>430.17</v>
      </c>
      <c r="F12" s="5">
        <v>430.17</v>
      </c>
      <c r="G12" s="6">
        <v>2.684379E8</v>
      </c>
    </row>
    <row r="13">
      <c r="A13" s="7">
        <v>45978.0</v>
      </c>
      <c r="B13" s="8">
        <v>398.74</v>
      </c>
      <c r="C13" s="8">
        <v>428.94</v>
      </c>
      <c r="D13" s="8">
        <v>383.76</v>
      </c>
      <c r="E13" s="8">
        <v>391.09</v>
      </c>
      <c r="F13" s="8">
        <v>391.09</v>
      </c>
      <c r="G13" s="9">
        <v>4.6896E8</v>
      </c>
    </row>
    <row r="14">
      <c r="A14" s="4">
        <v>45971.0</v>
      </c>
      <c r="B14" s="5">
        <v>439.6</v>
      </c>
      <c r="C14" s="5">
        <v>449.67</v>
      </c>
      <c r="D14" s="5">
        <v>382.78</v>
      </c>
      <c r="E14" s="5">
        <v>404.35</v>
      </c>
      <c r="F14" s="5">
        <v>404.35</v>
      </c>
      <c r="G14" s="6">
        <v>4.200173E8</v>
      </c>
    </row>
    <row r="15">
      <c r="A15" s="7">
        <v>45964.0</v>
      </c>
      <c r="B15" s="8">
        <v>455.99</v>
      </c>
      <c r="C15" s="8">
        <v>474.07</v>
      </c>
      <c r="D15" s="8">
        <v>421.88</v>
      </c>
      <c r="E15" s="8">
        <v>429.52</v>
      </c>
      <c r="F15" s="8">
        <v>429.52</v>
      </c>
      <c r="G15" s="9">
        <v>4.710192E8</v>
      </c>
    </row>
    <row r="16">
      <c r="A16" s="4">
        <v>45957.0</v>
      </c>
      <c r="B16" s="5">
        <v>439.98</v>
      </c>
      <c r="C16" s="5">
        <v>467.0</v>
      </c>
      <c r="D16" s="5">
        <v>438.69</v>
      </c>
      <c r="E16" s="5">
        <v>456.56</v>
      </c>
      <c r="F16" s="5">
        <v>456.56</v>
      </c>
      <c r="G16" s="6">
        <v>4.096204E8</v>
      </c>
    </row>
    <row r="17">
      <c r="A17" s="7">
        <v>45950.0</v>
      </c>
      <c r="B17" s="8">
        <v>443.87</v>
      </c>
      <c r="C17" s="8">
        <v>451.68</v>
      </c>
      <c r="D17" s="8">
        <v>413.9</v>
      </c>
      <c r="E17" s="8">
        <v>433.72</v>
      </c>
      <c r="F17" s="8">
        <v>433.72</v>
      </c>
      <c r="G17" s="9">
        <v>4.235923E8</v>
      </c>
    </row>
    <row r="18">
      <c r="A18" s="4">
        <v>45943.0</v>
      </c>
      <c r="B18" s="5">
        <v>423.53</v>
      </c>
      <c r="C18" s="5">
        <v>441.46</v>
      </c>
      <c r="D18" s="5">
        <v>417.86</v>
      </c>
      <c r="E18" s="5">
        <v>439.31</v>
      </c>
      <c r="F18" s="5">
        <v>439.31</v>
      </c>
      <c r="G18" s="6">
        <v>3.903019E8</v>
      </c>
    </row>
    <row r="19">
      <c r="A19" s="7">
        <v>45936.0</v>
      </c>
      <c r="B19" s="8">
        <v>440.75</v>
      </c>
      <c r="C19" s="8">
        <v>453.55</v>
      </c>
      <c r="D19" s="8">
        <v>411.45</v>
      </c>
      <c r="E19" s="8">
        <v>413.49</v>
      </c>
      <c r="F19" s="8">
        <v>413.49</v>
      </c>
      <c r="G19" s="9">
        <v>4.402609E8</v>
      </c>
    </row>
    <row r="20">
      <c r="A20" s="4">
        <v>45929.0</v>
      </c>
      <c r="B20" s="5">
        <v>444.35</v>
      </c>
      <c r="C20" s="5">
        <v>470.75</v>
      </c>
      <c r="D20" s="5">
        <v>416.58</v>
      </c>
      <c r="E20" s="5">
        <v>429.83</v>
      </c>
      <c r="F20" s="5">
        <v>429.83</v>
      </c>
      <c r="G20" s="6">
        <v>5.22169E8</v>
      </c>
    </row>
    <row r="21">
      <c r="A21" s="7">
        <v>45922.0</v>
      </c>
      <c r="B21" s="8">
        <v>431.11</v>
      </c>
      <c r="C21" s="8">
        <v>444.98</v>
      </c>
      <c r="D21" s="8">
        <v>419.08</v>
      </c>
      <c r="E21" s="8">
        <v>440.4</v>
      </c>
      <c r="F21" s="8">
        <v>440.4</v>
      </c>
      <c r="G21" s="9">
        <v>4.720397E8</v>
      </c>
    </row>
    <row r="22">
      <c r="A22" s="4">
        <v>45915.0</v>
      </c>
      <c r="B22" s="5">
        <v>423.13</v>
      </c>
      <c r="C22" s="5">
        <v>432.22</v>
      </c>
      <c r="D22" s="5">
        <v>402.43</v>
      </c>
      <c r="E22" s="5">
        <v>426.07</v>
      </c>
      <c r="F22" s="5">
        <v>426.07</v>
      </c>
      <c r="G22" s="6">
        <v>5.578284E8</v>
      </c>
    </row>
    <row r="23">
      <c r="A23" s="7">
        <v>45908.0</v>
      </c>
      <c r="B23" s="8">
        <v>354.64</v>
      </c>
      <c r="C23" s="8">
        <v>396.69</v>
      </c>
      <c r="D23" s="8">
        <v>343.82</v>
      </c>
      <c r="E23" s="8">
        <v>395.94</v>
      </c>
      <c r="F23" s="8">
        <v>395.94</v>
      </c>
      <c r="G23" s="9">
        <v>4.730584E8</v>
      </c>
    </row>
    <row r="24">
      <c r="A24" s="4">
        <v>45901.0</v>
      </c>
      <c r="B24" s="5">
        <v>328.23</v>
      </c>
      <c r="C24" s="5">
        <v>355.87</v>
      </c>
      <c r="D24" s="5">
        <v>325.6</v>
      </c>
      <c r="E24" s="5">
        <v>350.84</v>
      </c>
      <c r="F24" s="5">
        <v>350.84</v>
      </c>
      <c r="G24" s="6">
        <v>3.168261E8</v>
      </c>
    </row>
    <row r="25">
      <c r="A25" s="7">
        <v>45894.0</v>
      </c>
      <c r="B25" s="8">
        <v>338.9</v>
      </c>
      <c r="C25" s="8">
        <v>355.39</v>
      </c>
      <c r="D25" s="8">
        <v>331.7</v>
      </c>
      <c r="E25" s="8">
        <v>333.87</v>
      </c>
      <c r="F25" s="8">
        <v>333.87</v>
      </c>
      <c r="G25" s="9">
        <v>3.778895E8</v>
      </c>
    </row>
    <row r="26">
      <c r="A26" s="4">
        <v>45887.0</v>
      </c>
      <c r="B26" s="5">
        <v>329.62</v>
      </c>
      <c r="C26" s="5">
        <v>340.55</v>
      </c>
      <c r="D26" s="5">
        <v>314.6</v>
      </c>
      <c r="E26" s="5">
        <v>340.01</v>
      </c>
      <c r="F26" s="5">
        <v>340.01</v>
      </c>
      <c r="G26" s="6">
        <v>3.601551E8</v>
      </c>
    </row>
    <row r="27">
      <c r="A27" s="7">
        <v>45880.0</v>
      </c>
      <c r="B27" s="8">
        <v>335.0</v>
      </c>
      <c r="C27" s="8">
        <v>348.98</v>
      </c>
      <c r="D27" s="8">
        <v>327.02</v>
      </c>
      <c r="E27" s="8">
        <v>330.56</v>
      </c>
      <c r="F27" s="8">
        <v>330.56</v>
      </c>
      <c r="G27" s="9">
        <v>4.030017E8</v>
      </c>
    </row>
    <row r="28">
      <c r="A28" s="4">
        <v>45873.0</v>
      </c>
      <c r="B28" s="5">
        <v>309.08</v>
      </c>
      <c r="C28" s="5">
        <v>335.15</v>
      </c>
      <c r="D28" s="5">
        <v>303.0</v>
      </c>
      <c r="E28" s="5">
        <v>329.65</v>
      </c>
      <c r="F28" s="5">
        <v>329.65</v>
      </c>
      <c r="G28" s="6">
        <v>3.730278E8</v>
      </c>
    </row>
    <row r="29">
      <c r="A29" s="7">
        <v>45866.0</v>
      </c>
      <c r="B29" s="8">
        <v>318.45</v>
      </c>
      <c r="C29" s="8">
        <v>330.49</v>
      </c>
      <c r="D29" s="8">
        <v>297.82</v>
      </c>
      <c r="E29" s="8">
        <v>302.63</v>
      </c>
      <c r="F29" s="8">
        <v>302.63</v>
      </c>
      <c r="G29" s="9">
        <v>4.583569E8</v>
      </c>
    </row>
    <row r="30">
      <c r="A30" s="4">
        <v>45859.0</v>
      </c>
      <c r="B30" s="5">
        <v>334.4</v>
      </c>
      <c r="C30" s="5">
        <v>338.0</v>
      </c>
      <c r="D30" s="5">
        <v>300.41</v>
      </c>
      <c r="E30" s="5">
        <v>316.06</v>
      </c>
      <c r="F30" s="5">
        <v>316.06</v>
      </c>
      <c r="G30" s="6">
        <v>5.50886E8</v>
      </c>
    </row>
    <row r="31">
      <c r="A31" s="7">
        <v>45852.0</v>
      </c>
      <c r="B31" s="8">
        <v>317.73</v>
      </c>
      <c r="C31" s="8">
        <v>330.9</v>
      </c>
      <c r="D31" s="8">
        <v>310.5</v>
      </c>
      <c r="E31" s="8">
        <v>329.65</v>
      </c>
      <c r="F31" s="8">
        <v>329.65</v>
      </c>
      <c r="G31" s="9">
        <v>4.210624E8</v>
      </c>
    </row>
    <row r="32">
      <c r="A32" s="4">
        <v>45845.0</v>
      </c>
      <c r="B32" s="5">
        <v>291.37</v>
      </c>
      <c r="C32" s="5">
        <v>314.09</v>
      </c>
      <c r="D32" s="5">
        <v>288.77</v>
      </c>
      <c r="E32" s="5">
        <v>313.51</v>
      </c>
      <c r="F32" s="5">
        <v>313.51</v>
      </c>
      <c r="G32" s="6">
        <v>4.936131E8</v>
      </c>
    </row>
    <row r="33">
      <c r="A33" s="7">
        <v>45838.0</v>
      </c>
      <c r="B33" s="8">
        <v>319.9</v>
      </c>
      <c r="C33" s="8">
        <v>325.58</v>
      </c>
      <c r="D33" s="8">
        <v>293.21</v>
      </c>
      <c r="E33" s="8">
        <v>315.35</v>
      </c>
      <c r="F33" s="8">
        <v>315.35</v>
      </c>
      <c r="G33" s="9">
        <v>3.993068E8</v>
      </c>
    </row>
    <row r="34">
      <c r="A34" s="4">
        <v>45831.0</v>
      </c>
      <c r="B34" s="5">
        <v>327.54</v>
      </c>
      <c r="C34" s="5">
        <v>357.54</v>
      </c>
      <c r="D34" s="5">
        <v>317.5</v>
      </c>
      <c r="E34" s="5">
        <v>323.63</v>
      </c>
      <c r="F34" s="5">
        <v>323.63</v>
      </c>
      <c r="G34" s="6">
        <v>5.94806E8</v>
      </c>
    </row>
    <row r="35">
      <c r="A35" s="7">
        <v>45824.0</v>
      </c>
      <c r="B35" s="8">
        <v>331.29</v>
      </c>
      <c r="C35" s="8">
        <v>332.36</v>
      </c>
      <c r="D35" s="8">
        <v>314.74</v>
      </c>
      <c r="E35" s="8">
        <v>322.16</v>
      </c>
      <c r="F35" s="8">
        <v>322.16</v>
      </c>
      <c r="G35" s="9">
        <v>3.760343E8</v>
      </c>
    </row>
    <row r="36">
      <c r="A36" s="4">
        <v>45817.0</v>
      </c>
      <c r="B36" s="5">
        <v>285.96</v>
      </c>
      <c r="C36" s="5">
        <v>335.5</v>
      </c>
      <c r="D36" s="5">
        <v>281.85</v>
      </c>
      <c r="E36" s="5">
        <v>325.31</v>
      </c>
      <c r="F36" s="5">
        <v>325.31</v>
      </c>
      <c r="G36" s="6">
        <v>6.488686E8</v>
      </c>
    </row>
    <row r="37">
      <c r="A37" s="7">
        <v>45810.0</v>
      </c>
      <c r="B37" s="8">
        <v>343.5</v>
      </c>
      <c r="C37" s="8">
        <v>355.4</v>
      </c>
      <c r="D37" s="8">
        <v>273.21</v>
      </c>
      <c r="E37" s="8">
        <v>295.14</v>
      </c>
      <c r="F37" s="8">
        <v>295.14</v>
      </c>
      <c r="G37" s="9">
        <v>7.323579E8</v>
      </c>
    </row>
    <row r="38">
      <c r="A38" s="4">
        <v>45803.0</v>
      </c>
      <c r="B38" s="5">
        <v>347.35</v>
      </c>
      <c r="C38" s="5">
        <v>367.71</v>
      </c>
      <c r="D38" s="5">
        <v>345.29</v>
      </c>
      <c r="E38" s="5">
        <v>346.46</v>
      </c>
      <c r="F38" s="5">
        <v>346.46</v>
      </c>
      <c r="G38" s="6">
        <v>4.231134E8</v>
      </c>
    </row>
    <row r="39">
      <c r="A39" s="7">
        <v>45796.0</v>
      </c>
      <c r="B39" s="8">
        <v>336.3</v>
      </c>
      <c r="C39" s="8">
        <v>354.99</v>
      </c>
      <c r="D39" s="8">
        <v>331.39</v>
      </c>
      <c r="E39" s="8">
        <v>339.34</v>
      </c>
      <c r="F39" s="8">
        <v>339.34</v>
      </c>
      <c r="G39" s="9">
        <v>5.047084E8</v>
      </c>
    </row>
    <row r="40">
      <c r="A40" s="4">
        <v>45789.0</v>
      </c>
      <c r="B40" s="5">
        <v>321.99</v>
      </c>
      <c r="C40" s="5">
        <v>351.62</v>
      </c>
      <c r="D40" s="5">
        <v>311.5</v>
      </c>
      <c r="E40" s="5">
        <v>349.98</v>
      </c>
      <c r="F40" s="5">
        <v>349.98</v>
      </c>
      <c r="G40" s="6">
        <v>5.805949E8</v>
      </c>
    </row>
    <row r="41">
      <c r="A41" s="7">
        <v>45782.0</v>
      </c>
      <c r="B41" s="8">
        <v>284.57</v>
      </c>
      <c r="C41" s="8">
        <v>307.04</v>
      </c>
      <c r="D41" s="8">
        <v>271.0</v>
      </c>
      <c r="E41" s="8">
        <v>298.26</v>
      </c>
      <c r="F41" s="8">
        <v>298.26</v>
      </c>
      <c r="G41" s="9">
        <v>4.728545E8</v>
      </c>
    </row>
    <row r="42">
      <c r="A42" s="4">
        <v>45775.0</v>
      </c>
      <c r="B42" s="5">
        <v>288.98</v>
      </c>
      <c r="C42" s="5">
        <v>294.86</v>
      </c>
      <c r="D42" s="5">
        <v>270.78</v>
      </c>
      <c r="E42" s="5">
        <v>287.21</v>
      </c>
      <c r="F42" s="5">
        <v>287.21</v>
      </c>
      <c r="G42" s="6">
        <v>6.037132E8</v>
      </c>
    </row>
    <row r="43">
      <c r="A43" s="7">
        <v>45768.0</v>
      </c>
      <c r="B43" s="8">
        <v>230.26</v>
      </c>
      <c r="C43" s="8">
        <v>286.85</v>
      </c>
      <c r="D43" s="8">
        <v>222.79</v>
      </c>
      <c r="E43" s="8">
        <v>284.95</v>
      </c>
      <c r="F43" s="8">
        <v>284.95</v>
      </c>
      <c r="G43" s="9">
        <v>6.310333E8</v>
      </c>
    </row>
    <row r="44">
      <c r="A44" s="4">
        <v>45761.0</v>
      </c>
      <c r="B44" s="5">
        <v>258.36</v>
      </c>
      <c r="C44" s="5">
        <v>261.8</v>
      </c>
      <c r="D44" s="5">
        <v>233.89</v>
      </c>
      <c r="E44" s="5">
        <v>241.37</v>
      </c>
      <c r="F44" s="5">
        <v>241.37</v>
      </c>
      <c r="G44" s="6">
        <v>3.75513E8</v>
      </c>
    </row>
    <row r="45">
      <c r="A45" s="7">
        <v>45754.0</v>
      </c>
      <c r="B45" s="8">
        <v>223.78</v>
      </c>
      <c r="C45" s="8">
        <v>274.69</v>
      </c>
      <c r="D45" s="8">
        <v>214.25</v>
      </c>
      <c r="E45" s="8">
        <v>252.31</v>
      </c>
      <c r="F45" s="8">
        <v>252.31</v>
      </c>
      <c r="G45" s="9">
        <v>8.851614E8</v>
      </c>
    </row>
    <row r="46">
      <c r="A46" s="4">
        <v>45747.0</v>
      </c>
      <c r="B46" s="5">
        <v>249.31</v>
      </c>
      <c r="C46" s="5">
        <v>284.99</v>
      </c>
      <c r="D46" s="5">
        <v>236.0</v>
      </c>
      <c r="E46" s="5">
        <v>239.43</v>
      </c>
      <c r="F46" s="5">
        <v>239.43</v>
      </c>
      <c r="G46" s="6">
        <v>8.106873E8</v>
      </c>
    </row>
    <row r="47">
      <c r="A47" s="7">
        <v>45740.0</v>
      </c>
      <c r="B47" s="8">
        <v>258.08</v>
      </c>
      <c r="C47" s="8">
        <v>291.85</v>
      </c>
      <c r="D47" s="8">
        <v>256.33</v>
      </c>
      <c r="E47" s="8">
        <v>263.55</v>
      </c>
      <c r="F47" s="8">
        <v>263.55</v>
      </c>
      <c r="G47" s="9">
        <v>7.594527E8</v>
      </c>
    </row>
    <row r="48">
      <c r="A48" s="4">
        <v>45733.0</v>
      </c>
      <c r="B48" s="5">
        <v>245.06</v>
      </c>
      <c r="C48" s="5">
        <v>249.52</v>
      </c>
      <c r="D48" s="5">
        <v>222.28</v>
      </c>
      <c r="E48" s="5">
        <v>248.71</v>
      </c>
      <c r="F48" s="5">
        <v>248.71</v>
      </c>
      <c r="G48" s="6">
        <v>5.67129E8</v>
      </c>
    </row>
    <row r="49">
      <c r="A49" s="7">
        <v>45726.0</v>
      </c>
      <c r="B49" s="8">
        <v>252.54</v>
      </c>
      <c r="C49" s="8">
        <v>253.37</v>
      </c>
      <c r="D49" s="8">
        <v>217.02</v>
      </c>
      <c r="E49" s="8">
        <v>249.98</v>
      </c>
      <c r="F49" s="8">
        <v>249.98</v>
      </c>
      <c r="G49" s="9">
        <v>7.212448E8</v>
      </c>
    </row>
    <row r="50">
      <c r="A50" s="4">
        <v>45719.0</v>
      </c>
      <c r="B50" s="5">
        <v>300.34</v>
      </c>
      <c r="C50" s="5">
        <v>303.94</v>
      </c>
      <c r="D50" s="5">
        <v>250.73</v>
      </c>
      <c r="E50" s="5">
        <v>262.67</v>
      </c>
      <c r="F50" s="5">
        <v>262.67</v>
      </c>
      <c r="G50" s="6">
        <v>5.371221E8</v>
      </c>
    </row>
    <row r="51">
      <c r="A51" s="7">
        <v>45712.0</v>
      </c>
      <c r="B51" s="8">
        <v>338.14</v>
      </c>
      <c r="C51" s="8">
        <v>342.4</v>
      </c>
      <c r="D51" s="8">
        <v>273.6</v>
      </c>
      <c r="E51" s="8">
        <v>292.98</v>
      </c>
      <c r="F51" s="8">
        <v>292.98</v>
      </c>
      <c r="G51" s="9">
        <v>5.278446E8</v>
      </c>
    </row>
    <row r="52">
      <c r="A52" s="4">
        <v>45705.0</v>
      </c>
      <c r="B52" s="5">
        <v>355.01</v>
      </c>
      <c r="C52" s="5">
        <v>367.34</v>
      </c>
      <c r="D52" s="5">
        <v>334.42</v>
      </c>
      <c r="E52" s="5">
        <v>337.8</v>
      </c>
      <c r="F52" s="5">
        <v>337.8</v>
      </c>
      <c r="G52" s="6">
        <v>2.387501E8</v>
      </c>
    </row>
    <row r="53">
      <c r="A53" s="7">
        <v>45698.0</v>
      </c>
      <c r="B53" s="8">
        <v>356.21</v>
      </c>
      <c r="C53" s="8">
        <v>362.7</v>
      </c>
      <c r="D53" s="8">
        <v>325.1</v>
      </c>
      <c r="E53" s="8">
        <v>355.84</v>
      </c>
      <c r="F53" s="8">
        <v>355.84</v>
      </c>
      <c r="G53" s="9">
        <v>4.591598E8</v>
      </c>
    </row>
    <row r="54">
      <c r="A54" s="10">
        <v>45691.0</v>
      </c>
      <c r="B54" s="11">
        <v>386.68</v>
      </c>
      <c r="C54" s="11">
        <v>394.0</v>
      </c>
      <c r="D54" s="11">
        <v>360.34</v>
      </c>
      <c r="E54" s="11">
        <v>361.62</v>
      </c>
      <c r="F54" s="11">
        <v>361.62</v>
      </c>
      <c r="G54" s="12">
        <v>3.562441E8</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3.0" customHeight="1">
      <c r="A1" s="1" t="s">
        <v>0</v>
      </c>
      <c r="B1" s="2" t="s">
        <v>1</v>
      </c>
      <c r="C1" s="2" t="s">
        <v>2</v>
      </c>
      <c r="D1" s="2" t="s">
        <v>3</v>
      </c>
      <c r="E1" s="2" t="s">
        <v>4</v>
      </c>
      <c r="F1" s="2" t="s">
        <v>5</v>
      </c>
      <c r="G1" s="2" t="s">
        <v>6</v>
      </c>
      <c r="I1" s="13" t="s">
        <v>8</v>
      </c>
    </row>
    <row r="2">
      <c r="A2" s="14">
        <v>46055.0</v>
      </c>
      <c r="B2" s="15">
        <v>102.0</v>
      </c>
      <c r="C2" s="15">
        <v>103.6</v>
      </c>
      <c r="D2" s="15">
        <v>101.6</v>
      </c>
      <c r="E2" s="15">
        <v>103.1</v>
      </c>
      <c r="F2" s="15">
        <v>103.1</v>
      </c>
      <c r="G2" s="16">
        <v>52690.0</v>
      </c>
      <c r="I2" s="17"/>
      <c r="J2" s="18"/>
      <c r="K2" s="18"/>
      <c r="L2" s="18"/>
      <c r="M2" s="18"/>
      <c r="N2" s="18"/>
      <c r="O2" s="18"/>
    </row>
    <row r="3">
      <c r="A3" s="19">
        <v>46048.0</v>
      </c>
      <c r="B3" s="20">
        <v>105.3</v>
      </c>
      <c r="C3" s="20">
        <v>105.3</v>
      </c>
      <c r="D3" s="20">
        <v>101.5</v>
      </c>
      <c r="E3" s="20">
        <v>102.9</v>
      </c>
      <c r="F3" s="20">
        <v>102.9</v>
      </c>
      <c r="G3" s="21">
        <v>232281.0</v>
      </c>
      <c r="I3" s="22"/>
      <c r="J3" s="8"/>
      <c r="K3" s="8"/>
      <c r="L3" s="8"/>
      <c r="M3" s="8"/>
      <c r="N3" s="8"/>
      <c r="O3" s="9"/>
    </row>
    <row r="4">
      <c r="A4" s="14">
        <v>46041.0</v>
      </c>
      <c r="B4" s="15">
        <v>98.65</v>
      </c>
      <c r="C4" s="15">
        <v>106.1</v>
      </c>
      <c r="D4" s="15">
        <v>96.55</v>
      </c>
      <c r="E4" s="15">
        <v>105.5</v>
      </c>
      <c r="F4" s="15">
        <v>105.5</v>
      </c>
      <c r="G4" s="16">
        <v>346089.0</v>
      </c>
      <c r="I4" s="22"/>
      <c r="J4" s="8"/>
      <c r="K4" s="8"/>
      <c r="L4" s="8"/>
      <c r="M4" s="8"/>
      <c r="N4" s="8"/>
      <c r="O4" s="9"/>
    </row>
    <row r="5">
      <c r="A5" s="19">
        <v>46034.0</v>
      </c>
      <c r="B5" s="20">
        <v>105.2</v>
      </c>
      <c r="C5" s="20">
        <v>105.8</v>
      </c>
      <c r="D5" s="20">
        <v>100.6</v>
      </c>
      <c r="E5" s="20">
        <v>101.1</v>
      </c>
      <c r="F5" s="20">
        <v>101.1</v>
      </c>
      <c r="G5" s="21">
        <v>307549.0</v>
      </c>
      <c r="I5" s="22"/>
      <c r="J5" s="8"/>
      <c r="K5" s="8"/>
      <c r="L5" s="8"/>
      <c r="M5" s="8"/>
      <c r="N5" s="8"/>
      <c r="O5" s="9"/>
    </row>
    <row r="6">
      <c r="A6" s="14">
        <v>46027.0</v>
      </c>
      <c r="B6" s="15">
        <v>107.3</v>
      </c>
      <c r="C6" s="15">
        <v>107.7</v>
      </c>
      <c r="D6" s="15">
        <v>100.9</v>
      </c>
      <c r="E6" s="15">
        <v>104.9</v>
      </c>
      <c r="F6" s="15">
        <v>104.9</v>
      </c>
      <c r="G6" s="16">
        <v>236327.0</v>
      </c>
      <c r="I6" s="22"/>
      <c r="J6" s="8"/>
      <c r="K6" s="8"/>
      <c r="L6" s="8"/>
      <c r="M6" s="8"/>
      <c r="N6" s="8"/>
      <c r="O6" s="9"/>
    </row>
    <row r="7">
      <c r="A7" s="19">
        <v>46020.0</v>
      </c>
      <c r="B7" s="20">
        <v>104.1</v>
      </c>
      <c r="C7" s="20">
        <v>107.6</v>
      </c>
      <c r="D7" s="20">
        <v>103.3</v>
      </c>
      <c r="E7" s="20">
        <v>107.5</v>
      </c>
      <c r="F7" s="20">
        <v>107.5</v>
      </c>
      <c r="G7" s="21">
        <v>96579.0</v>
      </c>
      <c r="I7" s="22"/>
      <c r="J7" s="8"/>
      <c r="K7" s="8"/>
      <c r="L7" s="8"/>
      <c r="M7" s="8"/>
      <c r="N7" s="8"/>
      <c r="O7" s="9"/>
    </row>
    <row r="8">
      <c r="A8" s="14">
        <v>46013.0</v>
      </c>
      <c r="B8" s="15">
        <v>105.0</v>
      </c>
      <c r="C8" s="15">
        <v>106.0</v>
      </c>
      <c r="D8" s="15">
        <v>104.2</v>
      </c>
      <c r="E8" s="15">
        <v>104.4</v>
      </c>
      <c r="F8" s="15">
        <v>104.4</v>
      </c>
      <c r="G8" s="16">
        <v>97975.0</v>
      </c>
      <c r="I8" s="22"/>
      <c r="J8" s="8"/>
      <c r="K8" s="8"/>
      <c r="L8" s="8"/>
      <c r="M8" s="8"/>
      <c r="N8" s="8"/>
      <c r="O8" s="9"/>
    </row>
    <row r="9">
      <c r="A9" s="19">
        <v>46006.0</v>
      </c>
      <c r="B9" s="20">
        <v>109.4</v>
      </c>
      <c r="C9" s="20">
        <v>109.8</v>
      </c>
      <c r="D9" s="20">
        <v>104.9</v>
      </c>
      <c r="E9" s="20">
        <v>105.0</v>
      </c>
      <c r="F9" s="20">
        <v>105.0</v>
      </c>
      <c r="G9" s="21">
        <v>150837.0</v>
      </c>
      <c r="I9" s="22"/>
      <c r="J9" s="8"/>
      <c r="K9" s="8"/>
      <c r="L9" s="8"/>
      <c r="M9" s="8"/>
      <c r="N9" s="8"/>
      <c r="O9" s="9"/>
    </row>
    <row r="10">
      <c r="A10" s="14">
        <v>45999.0</v>
      </c>
      <c r="B10" s="15">
        <v>107.8</v>
      </c>
      <c r="C10" s="15">
        <v>110.2</v>
      </c>
      <c r="D10" s="15">
        <v>107.0</v>
      </c>
      <c r="E10" s="15">
        <v>109.4</v>
      </c>
      <c r="F10" s="15">
        <v>109.4</v>
      </c>
      <c r="G10" s="16">
        <v>397548.0</v>
      </c>
      <c r="I10" s="22"/>
      <c r="J10" s="8"/>
      <c r="K10" s="8"/>
      <c r="L10" s="8"/>
      <c r="M10" s="8"/>
      <c r="N10" s="8"/>
      <c r="O10" s="9"/>
    </row>
    <row r="11">
      <c r="A11" s="19">
        <v>45992.0</v>
      </c>
      <c r="B11" s="20">
        <v>99.4</v>
      </c>
      <c r="C11" s="20">
        <v>108.4</v>
      </c>
      <c r="D11" s="20">
        <v>99.3</v>
      </c>
      <c r="E11" s="20">
        <v>108.3</v>
      </c>
      <c r="F11" s="20">
        <v>108.3</v>
      </c>
      <c r="G11" s="21">
        <v>387132.0</v>
      </c>
      <c r="I11" s="22"/>
      <c r="J11" s="8"/>
      <c r="K11" s="8"/>
      <c r="L11" s="8"/>
      <c r="M11" s="8"/>
      <c r="N11" s="8"/>
      <c r="O11" s="9"/>
    </row>
    <row r="12">
      <c r="A12" s="14">
        <v>45985.0</v>
      </c>
      <c r="B12" s="15">
        <v>96.6</v>
      </c>
      <c r="C12" s="15">
        <v>99.65</v>
      </c>
      <c r="D12" s="15">
        <v>96.0</v>
      </c>
      <c r="E12" s="15">
        <v>99.5</v>
      </c>
      <c r="F12" s="15">
        <v>99.5</v>
      </c>
      <c r="G12" s="16">
        <v>172494.0</v>
      </c>
      <c r="I12" s="22"/>
      <c r="J12" s="8"/>
      <c r="K12" s="8"/>
      <c r="L12" s="8"/>
      <c r="M12" s="8"/>
      <c r="N12" s="8"/>
      <c r="O12" s="9"/>
    </row>
    <row r="13">
      <c r="A13" s="19">
        <v>45978.0</v>
      </c>
      <c r="B13" s="20">
        <v>99.0</v>
      </c>
      <c r="C13" s="20">
        <v>99.85</v>
      </c>
      <c r="D13" s="20">
        <v>93.4</v>
      </c>
      <c r="E13" s="20">
        <v>96.15</v>
      </c>
      <c r="F13" s="20">
        <v>96.15</v>
      </c>
      <c r="G13" s="21">
        <v>235162.0</v>
      </c>
      <c r="I13" s="22"/>
      <c r="J13" s="8"/>
      <c r="K13" s="8"/>
      <c r="L13" s="8"/>
      <c r="M13" s="8"/>
      <c r="N13" s="8"/>
      <c r="O13" s="9"/>
    </row>
    <row r="14">
      <c r="A14" s="14">
        <v>45971.0</v>
      </c>
      <c r="B14" s="15">
        <v>96.5</v>
      </c>
      <c r="C14" s="15">
        <v>102.0</v>
      </c>
      <c r="D14" s="15">
        <v>96.45</v>
      </c>
      <c r="E14" s="15">
        <v>99.65</v>
      </c>
      <c r="F14" s="15">
        <v>99.65</v>
      </c>
      <c r="G14" s="16">
        <v>322741.0</v>
      </c>
      <c r="I14" s="22"/>
      <c r="J14" s="8"/>
      <c r="K14" s="8"/>
      <c r="L14" s="8"/>
      <c r="M14" s="8"/>
      <c r="N14" s="8"/>
      <c r="O14" s="9"/>
    </row>
    <row r="15">
      <c r="A15" s="19">
        <v>45964.0</v>
      </c>
      <c r="B15" s="20">
        <v>91.4</v>
      </c>
      <c r="C15" s="20">
        <v>95.8</v>
      </c>
      <c r="D15" s="20">
        <v>91.05</v>
      </c>
      <c r="E15" s="20">
        <v>94.85</v>
      </c>
      <c r="F15" s="20">
        <v>94.85</v>
      </c>
      <c r="G15" s="21">
        <v>226827.0</v>
      </c>
      <c r="I15" s="22"/>
      <c r="J15" s="8"/>
      <c r="K15" s="8"/>
      <c r="L15" s="8"/>
      <c r="M15" s="8"/>
      <c r="N15" s="8"/>
      <c r="O15" s="9"/>
    </row>
    <row r="16">
      <c r="A16" s="14">
        <v>45957.0</v>
      </c>
      <c r="B16" s="15">
        <v>92.0</v>
      </c>
      <c r="C16" s="15">
        <v>95.2</v>
      </c>
      <c r="D16" s="15">
        <v>91.15</v>
      </c>
      <c r="E16" s="15">
        <v>91.35</v>
      </c>
      <c r="F16" s="15">
        <v>91.35</v>
      </c>
      <c r="G16" s="16">
        <v>331133.0</v>
      </c>
      <c r="I16" s="22"/>
      <c r="J16" s="8"/>
      <c r="K16" s="8"/>
      <c r="L16" s="8"/>
      <c r="M16" s="8"/>
      <c r="N16" s="8"/>
      <c r="O16" s="9"/>
    </row>
    <row r="17">
      <c r="A17" s="19">
        <v>45950.0</v>
      </c>
      <c r="B17" s="20">
        <v>92.4</v>
      </c>
      <c r="C17" s="20">
        <v>93.0</v>
      </c>
      <c r="D17" s="20">
        <v>89.55</v>
      </c>
      <c r="E17" s="20">
        <v>91.45</v>
      </c>
      <c r="F17" s="20">
        <v>91.45</v>
      </c>
      <c r="G17" s="21">
        <v>287898.0</v>
      </c>
      <c r="I17" s="22"/>
      <c r="J17" s="8"/>
      <c r="K17" s="8"/>
      <c r="L17" s="8"/>
      <c r="M17" s="8"/>
      <c r="N17" s="8"/>
      <c r="O17" s="9"/>
    </row>
    <row r="18">
      <c r="A18" s="14">
        <v>45943.0</v>
      </c>
      <c r="B18" s="15">
        <v>91.85</v>
      </c>
      <c r="C18" s="15">
        <v>93.15</v>
      </c>
      <c r="D18" s="15">
        <v>89.95</v>
      </c>
      <c r="E18" s="15">
        <v>92.5</v>
      </c>
      <c r="F18" s="15">
        <v>92.5</v>
      </c>
      <c r="G18" s="16">
        <v>292395.0</v>
      </c>
      <c r="I18" s="22"/>
      <c r="J18" s="8"/>
      <c r="K18" s="8"/>
      <c r="L18" s="8"/>
      <c r="M18" s="8"/>
      <c r="N18" s="8"/>
      <c r="O18" s="9"/>
    </row>
    <row r="19">
      <c r="A19" s="19">
        <v>45936.0</v>
      </c>
      <c r="B19" s="20">
        <v>94.4</v>
      </c>
      <c r="C19" s="20">
        <v>95.95</v>
      </c>
      <c r="D19" s="20">
        <v>90.7</v>
      </c>
      <c r="E19" s="20">
        <v>90.85</v>
      </c>
      <c r="F19" s="20">
        <v>90.85</v>
      </c>
      <c r="G19" s="21">
        <v>280223.0</v>
      </c>
      <c r="I19" s="22"/>
      <c r="J19" s="8"/>
      <c r="K19" s="8"/>
      <c r="L19" s="8"/>
      <c r="M19" s="8"/>
      <c r="N19" s="8"/>
      <c r="O19" s="9"/>
    </row>
    <row r="20">
      <c r="A20" s="14">
        <v>45929.0</v>
      </c>
      <c r="B20" s="15">
        <v>93.0</v>
      </c>
      <c r="C20" s="15">
        <v>95.8</v>
      </c>
      <c r="D20" s="15">
        <v>92.7</v>
      </c>
      <c r="E20" s="15">
        <v>94.2</v>
      </c>
      <c r="F20" s="15">
        <v>94.2</v>
      </c>
      <c r="G20" s="16">
        <v>200706.0</v>
      </c>
      <c r="I20" s="22"/>
      <c r="J20" s="8"/>
      <c r="K20" s="8"/>
      <c r="L20" s="8"/>
      <c r="M20" s="8"/>
      <c r="N20" s="8"/>
      <c r="O20" s="9"/>
    </row>
    <row r="21">
      <c r="A21" s="19">
        <v>45922.0</v>
      </c>
      <c r="B21" s="20">
        <v>98.3</v>
      </c>
      <c r="C21" s="20">
        <v>98.3</v>
      </c>
      <c r="D21" s="20">
        <v>92.25</v>
      </c>
      <c r="E21" s="20">
        <v>92.6</v>
      </c>
      <c r="F21" s="20">
        <v>92.6</v>
      </c>
      <c r="G21" s="21">
        <v>293643.0</v>
      </c>
      <c r="I21" s="22"/>
      <c r="J21" s="8"/>
      <c r="K21" s="8"/>
      <c r="L21" s="8"/>
      <c r="M21" s="8"/>
      <c r="N21" s="8"/>
      <c r="O21" s="9"/>
    </row>
    <row r="22">
      <c r="A22" s="14">
        <v>45915.0</v>
      </c>
      <c r="B22" s="15">
        <v>104.0</v>
      </c>
      <c r="C22" s="15">
        <v>104.3</v>
      </c>
      <c r="D22" s="15">
        <v>98.0</v>
      </c>
      <c r="E22" s="15">
        <v>98.3</v>
      </c>
      <c r="F22" s="15">
        <v>98.3</v>
      </c>
      <c r="G22" s="16">
        <v>216654.0</v>
      </c>
      <c r="I22" s="22"/>
      <c r="J22" s="8"/>
      <c r="K22" s="8"/>
      <c r="L22" s="8"/>
      <c r="M22" s="8"/>
      <c r="N22" s="8"/>
      <c r="O22" s="9"/>
    </row>
    <row r="23">
      <c r="A23" s="19">
        <v>45908.0</v>
      </c>
      <c r="B23" s="20">
        <v>101.7</v>
      </c>
      <c r="C23" s="20">
        <v>105.8</v>
      </c>
      <c r="D23" s="20">
        <v>101.3</v>
      </c>
      <c r="E23" s="20">
        <v>103.2</v>
      </c>
      <c r="F23" s="20">
        <v>103.2</v>
      </c>
      <c r="G23" s="21">
        <v>200635.0</v>
      </c>
      <c r="I23" s="22"/>
      <c r="J23" s="8"/>
      <c r="K23" s="8"/>
      <c r="L23" s="8"/>
      <c r="M23" s="8"/>
      <c r="N23" s="8"/>
      <c r="O23" s="9"/>
    </row>
    <row r="24">
      <c r="A24" s="14">
        <v>45901.0</v>
      </c>
      <c r="B24" s="15">
        <v>102.2</v>
      </c>
      <c r="C24" s="15">
        <v>102.8</v>
      </c>
      <c r="D24" s="15">
        <v>100.2</v>
      </c>
      <c r="E24" s="15">
        <v>101.4</v>
      </c>
      <c r="F24" s="15">
        <v>101.4</v>
      </c>
      <c r="G24" s="16">
        <v>138976.0</v>
      </c>
      <c r="I24" s="22"/>
      <c r="J24" s="8"/>
      <c r="K24" s="8"/>
      <c r="L24" s="8"/>
      <c r="M24" s="8"/>
      <c r="N24" s="8"/>
      <c r="O24" s="9"/>
    </row>
    <row r="25">
      <c r="A25" s="19">
        <v>45894.0</v>
      </c>
      <c r="B25" s="20">
        <v>104.5</v>
      </c>
      <c r="C25" s="20">
        <v>105.1</v>
      </c>
      <c r="D25" s="20">
        <v>101.3</v>
      </c>
      <c r="E25" s="20">
        <v>102.2</v>
      </c>
      <c r="F25" s="20">
        <v>102.2</v>
      </c>
      <c r="G25" s="21">
        <v>205791.0</v>
      </c>
      <c r="I25" s="22"/>
      <c r="J25" s="8"/>
      <c r="K25" s="8"/>
      <c r="L25" s="8"/>
      <c r="M25" s="8"/>
      <c r="N25" s="8"/>
      <c r="O25" s="9"/>
    </row>
    <row r="26">
      <c r="A26" s="14">
        <v>45887.0</v>
      </c>
      <c r="B26" s="15">
        <v>101.3</v>
      </c>
      <c r="C26" s="15">
        <v>105.1</v>
      </c>
      <c r="D26" s="15">
        <v>100.1</v>
      </c>
      <c r="E26" s="15">
        <v>105.0</v>
      </c>
      <c r="F26" s="15">
        <v>105.0</v>
      </c>
      <c r="G26" s="16">
        <v>278525.0</v>
      </c>
      <c r="I26" s="22"/>
      <c r="J26" s="8"/>
      <c r="K26" s="8"/>
      <c r="L26" s="8"/>
      <c r="M26" s="8"/>
      <c r="N26" s="8"/>
      <c r="O26" s="9"/>
    </row>
    <row r="27">
      <c r="A27" s="19">
        <v>45880.0</v>
      </c>
      <c r="B27" s="20">
        <v>98.15</v>
      </c>
      <c r="C27" s="20">
        <v>102.8</v>
      </c>
      <c r="D27" s="20">
        <v>97.95</v>
      </c>
      <c r="E27" s="20">
        <v>102.0</v>
      </c>
      <c r="F27" s="20">
        <v>102.0</v>
      </c>
      <c r="G27" s="21">
        <v>258480.0</v>
      </c>
      <c r="I27" s="22"/>
      <c r="J27" s="8"/>
      <c r="K27" s="8"/>
      <c r="L27" s="8"/>
      <c r="M27" s="8"/>
      <c r="N27" s="8"/>
      <c r="O27" s="9"/>
    </row>
    <row r="28">
      <c r="A28" s="14">
        <v>45873.0</v>
      </c>
      <c r="B28" s="15">
        <v>91.95</v>
      </c>
      <c r="C28" s="15">
        <v>97.85</v>
      </c>
      <c r="D28" s="15">
        <v>90.75</v>
      </c>
      <c r="E28" s="15">
        <v>97.7</v>
      </c>
      <c r="F28" s="15">
        <v>97.7</v>
      </c>
      <c r="G28" s="16">
        <v>303785.0</v>
      </c>
      <c r="I28" s="22"/>
      <c r="J28" s="8"/>
      <c r="K28" s="8"/>
      <c r="L28" s="8"/>
      <c r="M28" s="8"/>
      <c r="N28" s="8"/>
      <c r="O28" s="9"/>
    </row>
    <row r="29">
      <c r="A29" s="19">
        <v>45866.0</v>
      </c>
      <c r="B29" s="20">
        <v>104.9</v>
      </c>
      <c r="C29" s="20">
        <v>105.6</v>
      </c>
      <c r="D29" s="20">
        <v>91.3</v>
      </c>
      <c r="E29" s="20">
        <v>91.35</v>
      </c>
      <c r="F29" s="20">
        <v>91.35</v>
      </c>
      <c r="G29" s="21">
        <v>413257.0</v>
      </c>
      <c r="I29" s="22"/>
      <c r="J29" s="8"/>
      <c r="K29" s="8"/>
      <c r="L29" s="8"/>
      <c r="M29" s="8"/>
      <c r="N29" s="8"/>
      <c r="O29" s="9"/>
    </row>
    <row r="30">
      <c r="A30" s="14">
        <v>45859.0</v>
      </c>
      <c r="B30" s="15">
        <v>92.3</v>
      </c>
      <c r="C30" s="15">
        <v>102.6</v>
      </c>
      <c r="D30" s="15">
        <v>91.3</v>
      </c>
      <c r="E30" s="15">
        <v>102.5</v>
      </c>
      <c r="F30" s="15">
        <v>102.5</v>
      </c>
      <c r="G30" s="16">
        <v>651851.0</v>
      </c>
      <c r="I30" s="22"/>
      <c r="J30" s="8"/>
      <c r="K30" s="8"/>
      <c r="L30" s="8"/>
      <c r="M30" s="8"/>
      <c r="N30" s="8"/>
      <c r="O30" s="9"/>
    </row>
    <row r="31">
      <c r="A31" s="19">
        <v>45852.0</v>
      </c>
      <c r="B31" s="20">
        <v>95.55</v>
      </c>
      <c r="C31" s="20">
        <v>96.85</v>
      </c>
      <c r="D31" s="20">
        <v>92.1</v>
      </c>
      <c r="E31" s="20">
        <v>92.3</v>
      </c>
      <c r="F31" s="20">
        <v>92.3</v>
      </c>
      <c r="G31" s="21">
        <v>190575.0</v>
      </c>
      <c r="I31" s="22"/>
      <c r="J31" s="8"/>
      <c r="K31" s="8"/>
      <c r="L31" s="8"/>
      <c r="M31" s="8"/>
      <c r="N31" s="8"/>
      <c r="O31" s="9"/>
    </row>
    <row r="32">
      <c r="A32" s="14">
        <v>45845.0</v>
      </c>
      <c r="B32" s="15">
        <v>92.15</v>
      </c>
      <c r="C32" s="15">
        <v>97.75</v>
      </c>
      <c r="D32" s="15">
        <v>91.8</v>
      </c>
      <c r="E32" s="15">
        <v>97.5</v>
      </c>
      <c r="F32" s="15">
        <v>97.5</v>
      </c>
      <c r="G32" s="16">
        <v>315269.0</v>
      </c>
      <c r="I32" s="22"/>
      <c r="J32" s="8"/>
      <c r="K32" s="8"/>
      <c r="L32" s="8"/>
      <c r="M32" s="8"/>
      <c r="N32" s="8"/>
      <c r="O32" s="9"/>
    </row>
    <row r="33">
      <c r="A33" s="19">
        <v>45838.0</v>
      </c>
      <c r="B33" s="20">
        <v>93.9</v>
      </c>
      <c r="C33" s="20">
        <v>94.95</v>
      </c>
      <c r="D33" s="20">
        <v>89.7</v>
      </c>
      <c r="E33" s="20">
        <v>92.4</v>
      </c>
      <c r="F33" s="20">
        <v>92.4</v>
      </c>
      <c r="G33" s="21">
        <v>317859.0</v>
      </c>
      <c r="I33" s="22"/>
      <c r="J33" s="8"/>
      <c r="K33" s="8"/>
      <c r="L33" s="8"/>
      <c r="M33" s="8"/>
      <c r="N33" s="8"/>
      <c r="O33" s="9"/>
    </row>
    <row r="34">
      <c r="A34" s="14">
        <v>45831.0</v>
      </c>
      <c r="B34" s="15">
        <v>88.45</v>
      </c>
      <c r="C34" s="15">
        <v>94.05</v>
      </c>
      <c r="D34" s="15">
        <v>87.9</v>
      </c>
      <c r="E34" s="15">
        <v>93.65</v>
      </c>
      <c r="F34" s="15">
        <v>93.65</v>
      </c>
      <c r="G34" s="16">
        <v>290788.0</v>
      </c>
      <c r="I34" s="22"/>
      <c r="J34" s="8"/>
      <c r="K34" s="8"/>
      <c r="L34" s="8"/>
      <c r="M34" s="8"/>
      <c r="N34" s="8"/>
      <c r="O34" s="9"/>
    </row>
    <row r="35">
      <c r="A35" s="19">
        <v>45824.0</v>
      </c>
      <c r="B35" s="20">
        <v>90.4</v>
      </c>
      <c r="C35" s="20">
        <v>91.35</v>
      </c>
      <c r="D35" s="20">
        <v>88.15</v>
      </c>
      <c r="E35" s="20">
        <v>88.8</v>
      </c>
      <c r="F35" s="20">
        <v>88.8</v>
      </c>
      <c r="G35" s="21">
        <v>237179.0</v>
      </c>
      <c r="I35" s="22"/>
      <c r="J35" s="8"/>
      <c r="K35" s="8"/>
      <c r="L35" s="8"/>
      <c r="M35" s="8"/>
      <c r="N35" s="8"/>
      <c r="O35" s="9"/>
    </row>
    <row r="36">
      <c r="A36" s="14">
        <v>45817.0</v>
      </c>
      <c r="B36" s="15">
        <v>93.0</v>
      </c>
      <c r="C36" s="15">
        <v>95.0</v>
      </c>
      <c r="D36" s="15">
        <v>90.05</v>
      </c>
      <c r="E36" s="15">
        <v>90.4</v>
      </c>
      <c r="F36" s="15">
        <v>90.4</v>
      </c>
      <c r="G36" s="16">
        <v>191605.0</v>
      </c>
      <c r="I36" s="22"/>
      <c r="J36" s="8"/>
      <c r="K36" s="8"/>
      <c r="L36" s="8"/>
      <c r="M36" s="8"/>
      <c r="N36" s="8"/>
      <c r="O36" s="9"/>
    </row>
    <row r="37">
      <c r="A37" s="19">
        <v>45810.0</v>
      </c>
      <c r="B37" s="20">
        <v>96.05</v>
      </c>
      <c r="C37" s="20">
        <v>96.25</v>
      </c>
      <c r="D37" s="20">
        <v>93.1</v>
      </c>
      <c r="E37" s="20">
        <v>93.2</v>
      </c>
      <c r="F37" s="20">
        <v>93.2</v>
      </c>
      <c r="G37" s="21">
        <v>292227.0</v>
      </c>
      <c r="I37" s="22"/>
      <c r="J37" s="8"/>
      <c r="K37" s="8"/>
      <c r="L37" s="8"/>
      <c r="M37" s="8"/>
      <c r="N37" s="8"/>
      <c r="O37" s="9"/>
    </row>
    <row r="38">
      <c r="A38" s="14">
        <v>45803.0</v>
      </c>
      <c r="B38" s="15">
        <v>97.6</v>
      </c>
      <c r="C38" s="15">
        <v>99.95</v>
      </c>
      <c r="D38" s="15">
        <v>96.35</v>
      </c>
      <c r="E38" s="15">
        <v>97.0</v>
      </c>
      <c r="F38" s="15">
        <v>97.0</v>
      </c>
      <c r="G38" s="16">
        <v>260835.0</v>
      </c>
      <c r="I38" s="22"/>
      <c r="J38" s="8"/>
      <c r="K38" s="8"/>
      <c r="L38" s="8"/>
      <c r="M38" s="8"/>
      <c r="N38" s="8"/>
      <c r="O38" s="9"/>
    </row>
    <row r="39">
      <c r="A39" s="19">
        <v>45796.0</v>
      </c>
      <c r="B39" s="23" t="s">
        <v>9</v>
      </c>
      <c r="I39" s="22"/>
      <c r="J39" s="8"/>
      <c r="K39" s="8"/>
      <c r="L39" s="8"/>
      <c r="M39" s="8"/>
      <c r="N39" s="8"/>
      <c r="O39" s="9"/>
    </row>
    <row r="40">
      <c r="A40" s="14">
        <v>45796.0</v>
      </c>
      <c r="B40" s="15">
        <v>98.35</v>
      </c>
      <c r="C40" s="15">
        <v>101.0</v>
      </c>
      <c r="D40" s="15">
        <v>94.15</v>
      </c>
      <c r="E40" s="15">
        <v>95.7</v>
      </c>
      <c r="F40" s="15">
        <v>89.87</v>
      </c>
      <c r="G40" s="16">
        <v>380602.0</v>
      </c>
      <c r="I40" s="24"/>
      <c r="J40" s="8"/>
      <c r="K40" s="8"/>
      <c r="L40" s="8"/>
      <c r="M40" s="8"/>
      <c r="N40" s="8"/>
      <c r="O40" s="9"/>
    </row>
    <row r="41">
      <c r="A41" s="19">
        <v>45789.0</v>
      </c>
      <c r="B41" s="20">
        <v>103.5</v>
      </c>
      <c r="C41" s="20">
        <v>107.0</v>
      </c>
      <c r="D41" s="20">
        <v>103.0</v>
      </c>
      <c r="E41" s="20">
        <v>103.4</v>
      </c>
      <c r="F41" s="20">
        <v>97.1</v>
      </c>
      <c r="G41" s="21">
        <v>443703.0</v>
      </c>
      <c r="I41" s="24"/>
      <c r="J41" s="25"/>
    </row>
    <row r="42">
      <c r="A42" s="14">
        <v>45782.0</v>
      </c>
      <c r="B42" s="15">
        <v>99.15</v>
      </c>
      <c r="C42" s="15">
        <v>103.0</v>
      </c>
      <c r="D42" s="15">
        <v>96.45</v>
      </c>
      <c r="E42" s="15">
        <v>102.0</v>
      </c>
      <c r="F42" s="15">
        <v>95.79</v>
      </c>
      <c r="G42" s="16">
        <v>234811.0</v>
      </c>
      <c r="I42" s="24"/>
      <c r="J42" s="8"/>
      <c r="K42" s="8"/>
      <c r="L42" s="8"/>
      <c r="M42" s="8"/>
      <c r="N42" s="8"/>
      <c r="O42" s="9"/>
    </row>
    <row r="43">
      <c r="A43" s="19">
        <v>45775.0</v>
      </c>
      <c r="B43" s="20">
        <v>101.0</v>
      </c>
      <c r="C43" s="20">
        <v>102.4</v>
      </c>
      <c r="D43" s="20">
        <v>97.55</v>
      </c>
      <c r="E43" s="20">
        <v>98.65</v>
      </c>
      <c r="F43" s="20">
        <v>92.64</v>
      </c>
      <c r="G43" s="21">
        <v>306766.0</v>
      </c>
      <c r="I43" s="24"/>
      <c r="J43" s="8"/>
      <c r="K43" s="8"/>
      <c r="L43" s="8"/>
      <c r="M43" s="8"/>
      <c r="N43" s="8"/>
      <c r="O43" s="9"/>
    </row>
    <row r="44">
      <c r="A44" s="14">
        <v>45768.0</v>
      </c>
      <c r="B44" s="15">
        <v>91.4</v>
      </c>
      <c r="C44" s="15">
        <v>100.6</v>
      </c>
      <c r="D44" s="15">
        <v>91.4</v>
      </c>
      <c r="E44" s="15">
        <v>100.3</v>
      </c>
      <c r="F44" s="15">
        <v>94.19</v>
      </c>
      <c r="G44" s="16">
        <v>241852.0</v>
      </c>
      <c r="I44" s="24"/>
      <c r="J44" s="8"/>
      <c r="K44" s="8"/>
      <c r="L44" s="8"/>
      <c r="M44" s="8"/>
      <c r="N44" s="8"/>
      <c r="O44" s="9"/>
    </row>
    <row r="45">
      <c r="A45" s="19">
        <v>45761.0</v>
      </c>
      <c r="B45" s="20">
        <v>89.8</v>
      </c>
      <c r="C45" s="20">
        <v>93.2</v>
      </c>
      <c r="D45" s="20">
        <v>88.4</v>
      </c>
      <c r="E45" s="20">
        <v>91.4</v>
      </c>
      <c r="F45" s="20">
        <v>85.83</v>
      </c>
      <c r="G45" s="21">
        <v>191240.0</v>
      </c>
      <c r="I45" s="22"/>
      <c r="J45" s="8"/>
      <c r="K45" s="8"/>
      <c r="L45" s="8"/>
      <c r="M45" s="8"/>
      <c r="N45" s="8"/>
      <c r="O45" s="9"/>
    </row>
    <row r="46">
      <c r="A46" s="14">
        <v>45754.0</v>
      </c>
      <c r="B46" s="15">
        <v>85.15</v>
      </c>
      <c r="C46" s="15">
        <v>98.0</v>
      </c>
      <c r="D46" s="15">
        <v>83.75</v>
      </c>
      <c r="E46" s="15">
        <v>87.65</v>
      </c>
      <c r="F46" s="15">
        <v>82.31</v>
      </c>
      <c r="G46" s="16">
        <v>670403.0</v>
      </c>
      <c r="I46" s="22"/>
      <c r="J46" s="8"/>
      <c r="K46" s="8"/>
      <c r="L46" s="8"/>
      <c r="M46" s="8"/>
      <c r="N46" s="8"/>
      <c r="O46" s="9"/>
    </row>
    <row r="47">
      <c r="A47" s="19">
        <v>45747.0</v>
      </c>
      <c r="B47" s="20">
        <v>98.35</v>
      </c>
      <c r="C47" s="20">
        <v>98.35</v>
      </c>
      <c r="D47" s="20">
        <v>86.5</v>
      </c>
      <c r="E47" s="20">
        <v>90.1</v>
      </c>
      <c r="F47" s="20">
        <v>84.61</v>
      </c>
      <c r="G47" s="21">
        <v>480192.0</v>
      </c>
      <c r="I47" s="22"/>
      <c r="J47" s="8"/>
      <c r="K47" s="8"/>
      <c r="L47" s="8"/>
      <c r="M47" s="8"/>
      <c r="N47" s="8"/>
      <c r="O47" s="9"/>
    </row>
    <row r="48">
      <c r="A48" s="14">
        <v>45740.0</v>
      </c>
      <c r="B48" s="15">
        <v>103.7</v>
      </c>
      <c r="C48" s="15">
        <v>106.0</v>
      </c>
      <c r="D48" s="15">
        <v>98.8</v>
      </c>
      <c r="E48" s="15">
        <v>99.25</v>
      </c>
      <c r="F48" s="15">
        <v>93.2</v>
      </c>
      <c r="G48" s="16">
        <v>256422.0</v>
      </c>
      <c r="I48" s="22"/>
      <c r="J48" s="8"/>
      <c r="K48" s="8"/>
      <c r="L48" s="8"/>
      <c r="M48" s="8"/>
      <c r="N48" s="8"/>
      <c r="O48" s="9"/>
    </row>
    <row r="49">
      <c r="A49" s="19">
        <v>45733.0</v>
      </c>
      <c r="B49" s="20">
        <v>109.7</v>
      </c>
      <c r="C49" s="20">
        <v>112.8</v>
      </c>
      <c r="D49" s="20">
        <v>102.7</v>
      </c>
      <c r="E49" s="20">
        <v>103.7</v>
      </c>
      <c r="F49" s="20">
        <v>97.38</v>
      </c>
      <c r="G49" s="21">
        <v>253573.0</v>
      </c>
      <c r="I49" s="22"/>
      <c r="J49" s="8"/>
      <c r="K49" s="8"/>
      <c r="L49" s="8"/>
      <c r="M49" s="8"/>
      <c r="N49" s="8"/>
      <c r="O49" s="9"/>
    </row>
    <row r="50">
      <c r="A50" s="14">
        <v>45726.0</v>
      </c>
      <c r="B50" s="15">
        <v>112.8</v>
      </c>
      <c r="C50" s="15">
        <v>116.7</v>
      </c>
      <c r="D50" s="15">
        <v>107.9</v>
      </c>
      <c r="E50" s="15">
        <v>109.7</v>
      </c>
      <c r="F50" s="15">
        <v>103.02</v>
      </c>
      <c r="G50" s="16">
        <v>479140.0</v>
      </c>
      <c r="I50" s="22"/>
      <c r="J50" s="8"/>
      <c r="K50" s="8"/>
      <c r="L50" s="8"/>
      <c r="M50" s="8"/>
      <c r="N50" s="8"/>
      <c r="O50" s="9"/>
    </row>
    <row r="51">
      <c r="A51" s="19">
        <v>45719.0</v>
      </c>
      <c r="B51" s="20">
        <v>106.6</v>
      </c>
      <c r="C51" s="20">
        <v>112.7</v>
      </c>
      <c r="D51" s="20">
        <v>103.4</v>
      </c>
      <c r="E51" s="20">
        <v>111.0</v>
      </c>
      <c r="F51" s="20">
        <v>104.24</v>
      </c>
      <c r="G51" s="21">
        <v>399726.0</v>
      </c>
      <c r="I51" s="22"/>
      <c r="J51" s="8"/>
      <c r="K51" s="8"/>
      <c r="L51" s="8"/>
      <c r="M51" s="8"/>
      <c r="N51" s="8"/>
      <c r="O51" s="9"/>
    </row>
    <row r="52">
      <c r="A52" s="14">
        <v>45712.0</v>
      </c>
      <c r="B52" s="15">
        <v>104.1</v>
      </c>
      <c r="C52" s="15">
        <v>109.0</v>
      </c>
      <c r="D52" s="15">
        <v>102.7</v>
      </c>
      <c r="E52" s="15">
        <v>107.1</v>
      </c>
      <c r="F52" s="15">
        <v>100.57</v>
      </c>
      <c r="G52" s="16">
        <v>342200.0</v>
      </c>
      <c r="I52" s="22"/>
      <c r="J52" s="8"/>
      <c r="K52" s="8"/>
      <c r="L52" s="8"/>
      <c r="M52" s="8"/>
      <c r="N52" s="8"/>
      <c r="O52" s="9"/>
    </row>
    <row r="53">
      <c r="A53" s="19">
        <v>45705.0</v>
      </c>
      <c r="B53" s="20">
        <v>104.0</v>
      </c>
      <c r="C53" s="20">
        <v>104.9</v>
      </c>
      <c r="D53" s="20">
        <v>100.6</v>
      </c>
      <c r="E53" s="20">
        <v>102.4</v>
      </c>
      <c r="F53" s="20">
        <v>96.16</v>
      </c>
      <c r="G53" s="21">
        <v>210017.0</v>
      </c>
      <c r="I53" s="22"/>
      <c r="J53" s="8"/>
      <c r="K53" s="8"/>
      <c r="L53" s="8"/>
      <c r="M53" s="8"/>
      <c r="N53" s="8"/>
      <c r="O53" s="9"/>
    </row>
    <row r="54">
      <c r="A54" s="14">
        <v>45698.0</v>
      </c>
      <c r="B54" s="15">
        <v>96.45</v>
      </c>
      <c r="C54" s="15">
        <v>104.9</v>
      </c>
      <c r="D54" s="15">
        <v>95.2</v>
      </c>
      <c r="E54" s="15">
        <v>103.6</v>
      </c>
      <c r="F54" s="15">
        <v>97.29</v>
      </c>
      <c r="G54" s="16">
        <v>286814.0</v>
      </c>
      <c r="I54" s="22"/>
      <c r="J54" s="8"/>
      <c r="K54" s="8"/>
      <c r="L54" s="8"/>
      <c r="M54" s="8"/>
      <c r="N54" s="8"/>
      <c r="O54" s="9"/>
    </row>
    <row r="55">
      <c r="A55" s="26">
        <v>45691.0</v>
      </c>
      <c r="B55" s="27">
        <v>96.35</v>
      </c>
      <c r="C55" s="27">
        <v>99.65</v>
      </c>
      <c r="D55" s="27">
        <v>93.95</v>
      </c>
      <c r="E55" s="27">
        <v>96.45</v>
      </c>
      <c r="F55" s="27">
        <v>90.57</v>
      </c>
      <c r="G55" s="28">
        <v>336415.0</v>
      </c>
      <c r="I55" s="22"/>
      <c r="J55" s="8"/>
      <c r="K55" s="8"/>
      <c r="L55" s="8"/>
      <c r="M55" s="8"/>
      <c r="N55" s="8"/>
      <c r="O55" s="9"/>
    </row>
    <row r="56">
      <c r="A56" s="10"/>
      <c r="B56" s="11"/>
      <c r="C56" s="11"/>
      <c r="D56" s="11"/>
      <c r="E56" s="11"/>
      <c r="F56" s="11"/>
      <c r="G56" s="12"/>
      <c r="I56" s="22"/>
      <c r="J56" s="8"/>
      <c r="K56" s="8"/>
      <c r="L56" s="8"/>
      <c r="M56" s="8"/>
      <c r="N56" s="8"/>
      <c r="O56" s="9"/>
    </row>
    <row r="57">
      <c r="I57" s="22"/>
      <c r="J57" s="8"/>
      <c r="K57" s="8"/>
      <c r="L57" s="8"/>
      <c r="M57" s="8"/>
      <c r="N57" s="8"/>
      <c r="O57" s="9"/>
    </row>
  </sheetData>
  <mergeCells count="2">
    <mergeCell ref="B39:G39"/>
    <mergeCell ref="J41:O4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13"/>
  </cols>
  <sheetData>
    <row r="1" ht="74.25" customHeight="1">
      <c r="A1" s="29" t="s">
        <v>0</v>
      </c>
      <c r="B1" s="29" t="s">
        <v>0</v>
      </c>
      <c r="C1" s="30" t="s">
        <v>10</v>
      </c>
      <c r="D1" s="31" t="s">
        <v>11</v>
      </c>
      <c r="E1" s="32" t="s">
        <v>12</v>
      </c>
      <c r="F1" s="33" t="s">
        <v>10</v>
      </c>
      <c r="G1" s="34" t="s">
        <v>11</v>
      </c>
      <c r="H1" s="35" t="s">
        <v>13</v>
      </c>
    </row>
    <row r="2">
      <c r="A2" s="4">
        <v>46055.0</v>
      </c>
      <c r="B2" s="14">
        <v>46055.0</v>
      </c>
      <c r="C2" s="5">
        <v>421.81</v>
      </c>
      <c r="D2" s="15">
        <v>103.1</v>
      </c>
      <c r="E2" s="36"/>
      <c r="F2" s="37">
        <f t="shared" ref="F2:G2" si="1">(C2-C3)/C3</f>
        <v>-0.0199809484</v>
      </c>
      <c r="G2" s="37">
        <f t="shared" si="1"/>
        <v>0.001943634597</v>
      </c>
      <c r="H2" s="38">
        <f t="shared" ref="H2:H53" si="3">D2/D3-1</f>
        <v>0.001943634597</v>
      </c>
    </row>
    <row r="3">
      <c r="A3" s="7">
        <v>46048.0</v>
      </c>
      <c r="B3" s="19">
        <v>46048.0</v>
      </c>
      <c r="C3" s="8">
        <v>430.41</v>
      </c>
      <c r="D3" s="20">
        <v>102.9</v>
      </c>
      <c r="E3" s="36"/>
      <c r="F3" s="37">
        <f t="shared" ref="F3:G3" si="2">(C3-C4)/C4</f>
        <v>-0.0415311985</v>
      </c>
      <c r="G3" s="37">
        <f t="shared" si="2"/>
        <v>-0.02464454976</v>
      </c>
      <c r="H3" s="38">
        <f t="shared" si="3"/>
        <v>-0.02464454976</v>
      </c>
    </row>
    <row r="4">
      <c r="A4" s="4">
        <v>46041.0</v>
      </c>
      <c r="B4" s="14">
        <v>46041.0</v>
      </c>
      <c r="C4" s="5">
        <v>449.06</v>
      </c>
      <c r="D4" s="15">
        <v>105.5</v>
      </c>
      <c r="E4" s="36"/>
      <c r="F4" s="37">
        <f t="shared" ref="F4:G4" si="4">(C4-C5)/C5</f>
        <v>0.02642285714</v>
      </c>
      <c r="G4" s="37">
        <f t="shared" si="4"/>
        <v>0.04352126607</v>
      </c>
      <c r="H4" s="38">
        <f t="shared" si="3"/>
        <v>0.04352126607</v>
      </c>
    </row>
    <row r="5">
      <c r="A5" s="7">
        <v>46034.0</v>
      </c>
      <c r="B5" s="19">
        <v>46034.0</v>
      </c>
      <c r="C5" s="8">
        <v>437.5</v>
      </c>
      <c r="D5" s="20">
        <v>101.1</v>
      </c>
      <c r="E5" s="36"/>
      <c r="F5" s="37">
        <f t="shared" ref="F5:G5" si="5">(C5-C6)/C6</f>
        <v>-0.01687602526</v>
      </c>
      <c r="G5" s="37">
        <f t="shared" si="5"/>
        <v>-0.03622497617</v>
      </c>
      <c r="H5" s="38">
        <f t="shared" si="3"/>
        <v>-0.03622497617</v>
      </c>
    </row>
    <row r="6">
      <c r="A6" s="4">
        <v>46027.0</v>
      </c>
      <c r="B6" s="14">
        <v>46027.0</v>
      </c>
      <c r="C6" s="5">
        <v>445.01</v>
      </c>
      <c r="D6" s="15">
        <v>104.9</v>
      </c>
      <c r="E6" s="36"/>
      <c r="F6" s="37">
        <f t="shared" ref="F6:G6" si="6">(C6-C7)/C7</f>
        <v>0.015842217</v>
      </c>
      <c r="G6" s="37">
        <f t="shared" si="6"/>
        <v>-0.02418604651</v>
      </c>
      <c r="H6" s="38">
        <f t="shared" si="3"/>
        <v>-0.02418604651</v>
      </c>
    </row>
    <row r="7">
      <c r="A7" s="7">
        <v>46020.0</v>
      </c>
      <c r="B7" s="19">
        <v>46020.0</v>
      </c>
      <c r="C7" s="8">
        <v>438.07</v>
      </c>
      <c r="D7" s="20">
        <v>107.5</v>
      </c>
      <c r="E7" s="36"/>
      <c r="F7" s="37">
        <f t="shared" ref="F7:G7" si="7">(C7-C8)/C8</f>
        <v>-0.07811612197</v>
      </c>
      <c r="G7" s="37">
        <f t="shared" si="7"/>
        <v>0.02969348659</v>
      </c>
      <c r="H7" s="38">
        <f t="shared" si="3"/>
        <v>0.02969348659</v>
      </c>
    </row>
    <row r="8">
      <c r="A8" s="4">
        <v>46013.0</v>
      </c>
      <c r="B8" s="14">
        <v>46013.0</v>
      </c>
      <c r="C8" s="5">
        <v>475.19</v>
      </c>
      <c r="D8" s="15">
        <v>104.4</v>
      </c>
      <c r="E8" s="36"/>
      <c r="F8" s="37">
        <f t="shared" ref="F8:G8" si="8">(C8-C9)/C9</f>
        <v>-0.01248960931</v>
      </c>
      <c r="G8" s="37">
        <f t="shared" si="8"/>
        <v>-0.005714285714</v>
      </c>
      <c r="H8" s="38">
        <f t="shared" si="3"/>
        <v>-0.005714285714</v>
      </c>
    </row>
    <row r="9">
      <c r="A9" s="7">
        <v>46006.0</v>
      </c>
      <c r="B9" s="19">
        <v>46006.0</v>
      </c>
      <c r="C9" s="8">
        <v>481.2</v>
      </c>
      <c r="D9" s="20">
        <v>105.0</v>
      </c>
      <c r="E9" s="36"/>
      <c r="F9" s="37">
        <f t="shared" ref="F9:G9" si="9">(C9-C10)/C10</f>
        <v>0.04845738191</v>
      </c>
      <c r="G9" s="37">
        <f t="shared" si="9"/>
        <v>-0.04021937843</v>
      </c>
      <c r="H9" s="38">
        <f t="shared" si="3"/>
        <v>-0.04021937843</v>
      </c>
    </row>
    <row r="10">
      <c r="A10" s="4">
        <v>45999.0</v>
      </c>
      <c r="B10" s="14">
        <v>45999.0</v>
      </c>
      <c r="C10" s="5">
        <v>458.96</v>
      </c>
      <c r="D10" s="15">
        <v>109.4</v>
      </c>
      <c r="E10" s="36"/>
      <c r="F10" s="37">
        <f t="shared" ref="F10:G10" si="10">(C10-C11)/C11</f>
        <v>0.008703296703</v>
      </c>
      <c r="G10" s="37">
        <f t="shared" si="10"/>
        <v>0.01015697138</v>
      </c>
      <c r="H10" s="38">
        <f t="shared" si="3"/>
        <v>0.01015697138</v>
      </c>
    </row>
    <row r="11">
      <c r="A11" s="7">
        <v>45992.0</v>
      </c>
      <c r="B11" s="19">
        <v>45992.0</v>
      </c>
      <c r="C11" s="8">
        <v>455.0</v>
      </c>
      <c r="D11" s="20">
        <v>108.3</v>
      </c>
      <c r="E11" s="36"/>
      <c r="F11" s="37">
        <f t="shared" ref="F11:G11" si="11">(C11-C12)/C12</f>
        <v>0.05772136597</v>
      </c>
      <c r="G11" s="37">
        <f t="shared" si="11"/>
        <v>0.08844221106</v>
      </c>
      <c r="H11" s="38">
        <f t="shared" si="3"/>
        <v>0.08844221106</v>
      </c>
    </row>
    <row r="12">
      <c r="A12" s="4">
        <v>45985.0</v>
      </c>
      <c r="B12" s="14">
        <v>45985.0</v>
      </c>
      <c r="C12" s="5">
        <v>430.17</v>
      </c>
      <c r="D12" s="15">
        <v>99.5</v>
      </c>
      <c r="E12" s="36"/>
      <c r="F12" s="37">
        <f t="shared" ref="F12:G12" si="12">(C12-C13)/C13</f>
        <v>0.09992584827</v>
      </c>
      <c r="G12" s="37">
        <f t="shared" si="12"/>
        <v>0.03484139366</v>
      </c>
      <c r="H12" s="38">
        <f t="shared" si="3"/>
        <v>0.03484139366</v>
      </c>
    </row>
    <row r="13">
      <c r="A13" s="7">
        <v>45978.0</v>
      </c>
      <c r="B13" s="19">
        <v>45978.0</v>
      </c>
      <c r="C13" s="8">
        <v>391.09</v>
      </c>
      <c r="D13" s="20">
        <v>96.15</v>
      </c>
      <c r="E13" s="36"/>
      <c r="F13" s="37">
        <f t="shared" ref="F13:G13" si="13">(C13-C14)/C14</f>
        <v>-0.03279337208</v>
      </c>
      <c r="G13" s="37">
        <f t="shared" si="13"/>
        <v>-0.03512293026</v>
      </c>
      <c r="H13" s="38">
        <f t="shared" si="3"/>
        <v>-0.03512293026</v>
      </c>
    </row>
    <row r="14">
      <c r="A14" s="4">
        <v>45971.0</v>
      </c>
      <c r="B14" s="14">
        <v>45971.0</v>
      </c>
      <c r="C14" s="5">
        <v>404.35</v>
      </c>
      <c r="D14" s="15">
        <v>99.65</v>
      </c>
      <c r="E14" s="36"/>
      <c r="F14" s="37">
        <f t="shared" ref="F14:G14" si="14">(C14-C15)/C15</f>
        <v>-0.05860029801</v>
      </c>
      <c r="G14" s="37">
        <f t="shared" si="14"/>
        <v>0.05060622035</v>
      </c>
      <c r="H14" s="38">
        <f t="shared" si="3"/>
        <v>0.05060622035</v>
      </c>
    </row>
    <row r="15">
      <c r="A15" s="7">
        <v>45964.0</v>
      </c>
      <c r="B15" s="19">
        <v>45964.0</v>
      </c>
      <c r="C15" s="8">
        <v>429.52</v>
      </c>
      <c r="D15" s="20">
        <v>94.85</v>
      </c>
      <c r="E15" s="36"/>
      <c r="F15" s="37">
        <f t="shared" ref="F15:G15" si="15">(C15-C16)/C16</f>
        <v>-0.05922551253</v>
      </c>
      <c r="G15" s="37">
        <f t="shared" si="15"/>
        <v>0.03831417625</v>
      </c>
      <c r="H15" s="38">
        <f t="shared" si="3"/>
        <v>0.03831417625</v>
      </c>
    </row>
    <row r="16">
      <c r="A16" s="4">
        <v>45957.0</v>
      </c>
      <c r="B16" s="14">
        <v>45957.0</v>
      </c>
      <c r="C16" s="5">
        <v>456.56</v>
      </c>
      <c r="D16" s="15">
        <v>91.35</v>
      </c>
      <c r="E16" s="36"/>
      <c r="F16" s="37">
        <f t="shared" ref="F16:G16" si="16">(C16-C17)/C17</f>
        <v>0.05266070276</v>
      </c>
      <c r="G16" s="37">
        <f t="shared" si="16"/>
        <v>-0.001093493712</v>
      </c>
      <c r="H16" s="38">
        <f t="shared" si="3"/>
        <v>-0.001093493712</v>
      </c>
    </row>
    <row r="17">
      <c r="A17" s="7">
        <v>45950.0</v>
      </c>
      <c r="B17" s="19">
        <v>45950.0</v>
      </c>
      <c r="C17" s="8">
        <v>433.72</v>
      </c>
      <c r="D17" s="20">
        <v>91.45</v>
      </c>
      <c r="E17" s="36"/>
      <c r="F17" s="37">
        <f t="shared" ref="F17:G17" si="17">(C17-C18)/C18</f>
        <v>-0.01272449978</v>
      </c>
      <c r="G17" s="37">
        <f t="shared" si="17"/>
        <v>-0.01135135135</v>
      </c>
      <c r="H17" s="38">
        <f t="shared" si="3"/>
        <v>-0.01135135135</v>
      </c>
    </row>
    <row r="18">
      <c r="A18" s="4">
        <v>45943.0</v>
      </c>
      <c r="B18" s="14">
        <v>45943.0</v>
      </c>
      <c r="C18" s="5">
        <v>439.31</v>
      </c>
      <c r="D18" s="15">
        <v>92.5</v>
      </c>
      <c r="E18" s="36"/>
      <c r="F18" s="37">
        <f t="shared" ref="F18:G18" si="18">(C18-C19)/C19</f>
        <v>0.06244407362</v>
      </c>
      <c r="G18" s="37">
        <f t="shared" si="18"/>
        <v>0.01816180517</v>
      </c>
      <c r="H18" s="38">
        <f t="shared" si="3"/>
        <v>0.01816180517</v>
      </c>
    </row>
    <row r="19">
      <c r="A19" s="7">
        <v>45936.0</v>
      </c>
      <c r="B19" s="19">
        <v>45936.0</v>
      </c>
      <c r="C19" s="8">
        <v>413.49</v>
      </c>
      <c r="D19" s="20">
        <v>90.85</v>
      </c>
      <c r="E19" s="36"/>
      <c r="F19" s="37">
        <f t="shared" ref="F19:G19" si="19">(C19-C20)/C20</f>
        <v>-0.0380150292</v>
      </c>
      <c r="G19" s="37">
        <f t="shared" si="19"/>
        <v>-0.0355626327</v>
      </c>
      <c r="H19" s="38">
        <f t="shared" si="3"/>
        <v>-0.0355626327</v>
      </c>
    </row>
    <row r="20">
      <c r="A20" s="4">
        <v>45929.0</v>
      </c>
      <c r="B20" s="14">
        <v>45929.0</v>
      </c>
      <c r="C20" s="5">
        <v>429.83</v>
      </c>
      <c r="D20" s="15">
        <v>94.2</v>
      </c>
      <c r="E20" s="36"/>
      <c r="F20" s="37">
        <f t="shared" ref="F20:G20" si="20">(C20-C21)/C21</f>
        <v>-0.02400090827</v>
      </c>
      <c r="G20" s="37">
        <f t="shared" si="20"/>
        <v>0.01727861771</v>
      </c>
      <c r="H20" s="38">
        <f t="shared" si="3"/>
        <v>0.01727861771</v>
      </c>
    </row>
    <row r="21">
      <c r="A21" s="7">
        <v>45922.0</v>
      </c>
      <c r="B21" s="19">
        <v>45922.0</v>
      </c>
      <c r="C21" s="8">
        <v>440.4</v>
      </c>
      <c r="D21" s="20">
        <v>92.6</v>
      </c>
      <c r="E21" s="36"/>
      <c r="F21" s="37">
        <f t="shared" ref="F21:G21" si="21">(C21-C22)/C22</f>
        <v>0.03363297111</v>
      </c>
      <c r="G21" s="37">
        <f t="shared" si="21"/>
        <v>-0.05798575788</v>
      </c>
      <c r="H21" s="38">
        <f t="shared" si="3"/>
        <v>-0.05798575788</v>
      </c>
    </row>
    <row r="22">
      <c r="A22" s="4">
        <v>45915.0</v>
      </c>
      <c r="B22" s="14">
        <v>45915.0</v>
      </c>
      <c r="C22" s="5">
        <v>426.07</v>
      </c>
      <c r="D22" s="15">
        <v>98.3</v>
      </c>
      <c r="E22" s="36"/>
      <c r="F22" s="37">
        <f t="shared" ref="F22:G22" si="22">(C22-C23)/C23</f>
        <v>0.07609738849</v>
      </c>
      <c r="G22" s="37">
        <f t="shared" si="22"/>
        <v>-0.04748062016</v>
      </c>
      <c r="H22" s="38">
        <f t="shared" si="3"/>
        <v>-0.04748062016</v>
      </c>
    </row>
    <row r="23">
      <c r="A23" s="7">
        <v>45908.0</v>
      </c>
      <c r="B23" s="19">
        <v>45908.0</v>
      </c>
      <c r="C23" s="8">
        <v>395.94</v>
      </c>
      <c r="D23" s="20">
        <v>103.2</v>
      </c>
      <c r="E23" s="36"/>
      <c r="F23" s="37">
        <f t="shared" ref="F23:G23" si="23">(C23-C24)/C24</f>
        <v>0.1285486262</v>
      </c>
      <c r="G23" s="37">
        <f t="shared" si="23"/>
        <v>0.01775147929</v>
      </c>
      <c r="H23" s="38">
        <f t="shared" si="3"/>
        <v>0.01775147929</v>
      </c>
    </row>
    <row r="24">
      <c r="A24" s="4">
        <v>45901.0</v>
      </c>
      <c r="B24" s="14">
        <v>45901.0</v>
      </c>
      <c r="C24" s="5">
        <v>350.84</v>
      </c>
      <c r="D24" s="15">
        <v>101.4</v>
      </c>
      <c r="E24" s="36"/>
      <c r="F24" s="37">
        <f t="shared" ref="F24:G24" si="24">(C24-C25)/C25</f>
        <v>0.05082816665</v>
      </c>
      <c r="G24" s="37">
        <f t="shared" si="24"/>
        <v>-0.00782778865</v>
      </c>
      <c r="H24" s="38">
        <f t="shared" si="3"/>
        <v>-0.00782778865</v>
      </c>
    </row>
    <row r="25">
      <c r="A25" s="7">
        <v>45894.0</v>
      </c>
      <c r="B25" s="19">
        <v>45894.0</v>
      </c>
      <c r="C25" s="8">
        <v>333.87</v>
      </c>
      <c r="D25" s="20">
        <v>102.2</v>
      </c>
      <c r="E25" s="36"/>
      <c r="F25" s="37">
        <f t="shared" ref="F25:G25" si="25">(C25-C26)/C26</f>
        <v>-0.0180582924</v>
      </c>
      <c r="G25" s="37">
        <f t="shared" si="25"/>
        <v>-0.02666666667</v>
      </c>
      <c r="H25" s="38">
        <f t="shared" si="3"/>
        <v>-0.02666666667</v>
      </c>
    </row>
    <row r="26">
      <c r="A26" s="4">
        <v>45887.0</v>
      </c>
      <c r="B26" s="14">
        <v>45887.0</v>
      </c>
      <c r="C26" s="5">
        <v>340.01</v>
      </c>
      <c r="D26" s="15">
        <v>105.0</v>
      </c>
      <c r="E26" s="36"/>
      <c r="F26" s="37">
        <f t="shared" ref="F26:G26" si="26">(C26-C27)/C27</f>
        <v>0.02858785092</v>
      </c>
      <c r="G26" s="37">
        <f t="shared" si="26"/>
        <v>0.02941176471</v>
      </c>
      <c r="H26" s="38">
        <f t="shared" si="3"/>
        <v>0.02941176471</v>
      </c>
    </row>
    <row r="27">
      <c r="A27" s="7">
        <v>45880.0</v>
      </c>
      <c r="B27" s="19">
        <v>45880.0</v>
      </c>
      <c r="C27" s="8">
        <v>330.56</v>
      </c>
      <c r="D27" s="20">
        <v>102.0</v>
      </c>
      <c r="E27" s="36"/>
      <c r="F27" s="37">
        <f t="shared" ref="F27:G27" si="27">(C27-C28)/C28</f>
        <v>0.002760503564</v>
      </c>
      <c r="G27" s="37">
        <f t="shared" si="27"/>
        <v>0.0440122825</v>
      </c>
      <c r="H27" s="38">
        <f t="shared" si="3"/>
        <v>0.0440122825</v>
      </c>
    </row>
    <row r="28">
      <c r="A28" s="4">
        <v>45873.0</v>
      </c>
      <c r="B28" s="14">
        <v>45873.0</v>
      </c>
      <c r="C28" s="5">
        <v>329.65</v>
      </c>
      <c r="D28" s="15">
        <v>97.7</v>
      </c>
      <c r="E28" s="36"/>
      <c r="F28" s="37">
        <f t="shared" ref="F28:G28" si="28">(C28-C29)/C29</f>
        <v>0.08928394409</v>
      </c>
      <c r="G28" s="37">
        <f t="shared" si="28"/>
        <v>0.06951286262</v>
      </c>
      <c r="H28" s="38">
        <f t="shared" si="3"/>
        <v>0.06951286262</v>
      </c>
    </row>
    <row r="29">
      <c r="A29" s="7">
        <v>45866.0</v>
      </c>
      <c r="B29" s="19">
        <v>45866.0</v>
      </c>
      <c r="C29" s="8">
        <v>302.63</v>
      </c>
      <c r="D29" s="20">
        <v>91.35</v>
      </c>
      <c r="E29" s="36"/>
      <c r="F29" s="37">
        <f t="shared" ref="F29:G29" si="29">(C29-C30)/C30</f>
        <v>-0.04249193191</v>
      </c>
      <c r="G29" s="37">
        <f t="shared" si="29"/>
        <v>-0.1087804878</v>
      </c>
      <c r="H29" s="38">
        <f t="shared" si="3"/>
        <v>-0.1087804878</v>
      </c>
    </row>
    <row r="30">
      <c r="A30" s="4">
        <v>45859.0</v>
      </c>
      <c r="B30" s="14">
        <v>45859.0</v>
      </c>
      <c r="C30" s="5">
        <v>316.06</v>
      </c>
      <c r="D30" s="15">
        <v>102.5</v>
      </c>
      <c r="E30" s="36"/>
      <c r="F30" s="37">
        <f t="shared" ref="F30:G30" si="30">(C30-C31)/C31</f>
        <v>-0.04122554224</v>
      </c>
      <c r="G30" s="37">
        <f t="shared" si="30"/>
        <v>0.1105092091</v>
      </c>
      <c r="H30" s="38">
        <f t="shared" si="3"/>
        <v>0.1105092091</v>
      </c>
    </row>
    <row r="31">
      <c r="A31" s="7">
        <v>45852.0</v>
      </c>
      <c r="B31" s="19">
        <v>45852.0</v>
      </c>
      <c r="C31" s="8">
        <v>329.65</v>
      </c>
      <c r="D31" s="20">
        <v>92.3</v>
      </c>
      <c r="E31" s="36"/>
      <c r="F31" s="37">
        <f t="shared" ref="F31:G31" si="31">(C31-C32)/C32</f>
        <v>0.05148161143</v>
      </c>
      <c r="G31" s="37">
        <f t="shared" si="31"/>
        <v>-0.05333333333</v>
      </c>
      <c r="H31" s="38">
        <f t="shared" si="3"/>
        <v>-0.05333333333</v>
      </c>
    </row>
    <row r="32">
      <c r="A32" s="4">
        <v>45845.0</v>
      </c>
      <c r="B32" s="14">
        <v>45845.0</v>
      </c>
      <c r="C32" s="5">
        <v>313.51</v>
      </c>
      <c r="D32" s="15">
        <v>97.5</v>
      </c>
      <c r="E32" s="36"/>
      <c r="F32" s="37">
        <f t="shared" ref="F32:G32" si="32">(C32-C33)/C33</f>
        <v>-0.005834786745</v>
      </c>
      <c r="G32" s="37">
        <f t="shared" si="32"/>
        <v>0.05519480519</v>
      </c>
      <c r="H32" s="38">
        <f t="shared" si="3"/>
        <v>0.05519480519</v>
      </c>
    </row>
    <row r="33">
      <c r="A33" s="7">
        <v>45838.0</v>
      </c>
      <c r="B33" s="19">
        <v>45838.0</v>
      </c>
      <c r="C33" s="8">
        <v>315.35</v>
      </c>
      <c r="D33" s="20">
        <v>92.4</v>
      </c>
      <c r="E33" s="36"/>
      <c r="F33" s="37">
        <f t="shared" ref="F33:G33" si="33">(C33-C34)/C34</f>
        <v>-0.02558477273</v>
      </c>
      <c r="G33" s="37">
        <f t="shared" si="33"/>
        <v>-0.01334757074</v>
      </c>
      <c r="H33" s="38">
        <f t="shared" si="3"/>
        <v>-0.01334757074</v>
      </c>
    </row>
    <row r="34">
      <c r="A34" s="4">
        <v>45831.0</v>
      </c>
      <c r="B34" s="14">
        <v>45831.0</v>
      </c>
      <c r="C34" s="5">
        <v>323.63</v>
      </c>
      <c r="D34" s="15">
        <v>93.65</v>
      </c>
      <c r="E34" s="36"/>
      <c r="F34" s="37">
        <f t="shared" ref="F34:G34" si="34">(C34-C35)/C35</f>
        <v>0.004562950087</v>
      </c>
      <c r="G34" s="37">
        <f t="shared" si="34"/>
        <v>0.05461711712</v>
      </c>
      <c r="H34" s="38">
        <f t="shared" si="3"/>
        <v>0.05461711712</v>
      </c>
    </row>
    <row r="35">
      <c r="A35" s="7">
        <v>45824.0</v>
      </c>
      <c r="B35" s="19">
        <v>45824.0</v>
      </c>
      <c r="C35" s="8">
        <v>322.16</v>
      </c>
      <c r="D35" s="20">
        <v>88.8</v>
      </c>
      <c r="E35" s="36"/>
      <c r="F35" s="37">
        <f t="shared" ref="F35:G35" si="35">(C35-C36)/C36</f>
        <v>-0.009683071532</v>
      </c>
      <c r="G35" s="37">
        <f t="shared" si="35"/>
        <v>-0.01769911504</v>
      </c>
      <c r="H35" s="38">
        <f t="shared" si="3"/>
        <v>-0.01769911504</v>
      </c>
    </row>
    <row r="36">
      <c r="A36" s="4">
        <v>45817.0</v>
      </c>
      <c r="B36" s="14">
        <v>45817.0</v>
      </c>
      <c r="C36" s="5">
        <v>325.31</v>
      </c>
      <c r="D36" s="15">
        <v>90.4</v>
      </c>
      <c r="E36" s="36"/>
      <c r="F36" s="37">
        <f t="shared" ref="F36:G36" si="36">(C36-C37)/C37</f>
        <v>0.102222674</v>
      </c>
      <c r="G36" s="37">
        <f t="shared" si="36"/>
        <v>-0.03004291845</v>
      </c>
      <c r="H36" s="38">
        <f t="shared" si="3"/>
        <v>-0.03004291845</v>
      </c>
    </row>
    <row r="37">
      <c r="A37" s="7">
        <v>45810.0</v>
      </c>
      <c r="B37" s="19">
        <v>45810.0</v>
      </c>
      <c r="C37" s="8">
        <v>295.14</v>
      </c>
      <c r="D37" s="20">
        <v>93.2</v>
      </c>
      <c r="E37" s="36"/>
      <c r="F37" s="37">
        <f t="shared" ref="F37:G37" si="37">(C37-C38)/C38</f>
        <v>-0.1481267679</v>
      </c>
      <c r="G37" s="37">
        <f t="shared" si="37"/>
        <v>-0.03917525773</v>
      </c>
      <c r="H37" s="38">
        <f t="shared" si="3"/>
        <v>-0.03917525773</v>
      </c>
    </row>
    <row r="38">
      <c r="A38" s="4">
        <v>45803.0</v>
      </c>
      <c r="B38" s="14">
        <v>45803.0</v>
      </c>
      <c r="C38" s="5">
        <v>346.46</v>
      </c>
      <c r="D38" s="15">
        <v>97.0</v>
      </c>
      <c r="E38" s="36"/>
      <c r="F38" s="37">
        <f t="shared" ref="F38:G38" si="38">(C38-C39)/C39</f>
        <v>0.02098190605</v>
      </c>
      <c r="G38" s="37">
        <f t="shared" si="38"/>
        <v>0.07933681985</v>
      </c>
      <c r="H38" s="38">
        <f t="shared" si="3"/>
        <v>0.07933681985</v>
      </c>
    </row>
    <row r="39">
      <c r="A39" s="7">
        <v>45796.0</v>
      </c>
      <c r="B39" s="19">
        <v>45796.0</v>
      </c>
      <c r="C39" s="8">
        <v>339.34</v>
      </c>
      <c r="D39" s="15">
        <v>89.87</v>
      </c>
      <c r="E39" s="36"/>
      <c r="F39" s="37">
        <f t="shared" ref="F39:G39" si="39">(C39-C40)/C40</f>
        <v>-0.03040173724</v>
      </c>
      <c r="G39" s="37">
        <f t="shared" si="39"/>
        <v>-0.07445932029</v>
      </c>
      <c r="H39" s="38">
        <f t="shared" si="3"/>
        <v>-0.07445932029</v>
      </c>
    </row>
    <row r="40">
      <c r="A40" s="4">
        <v>45789.0</v>
      </c>
      <c r="B40" s="14">
        <v>45796.0</v>
      </c>
      <c r="C40" s="5">
        <v>349.98</v>
      </c>
      <c r="D40" s="20">
        <v>97.1</v>
      </c>
      <c r="E40" s="36"/>
      <c r="F40" s="37">
        <f t="shared" ref="F40:G40" si="40">(C40-C41)/C41</f>
        <v>0.1734057534</v>
      </c>
      <c r="G40" s="37">
        <f t="shared" si="40"/>
        <v>0.01367574903</v>
      </c>
      <c r="H40" s="38">
        <f t="shared" si="3"/>
        <v>0.01367574903</v>
      </c>
    </row>
    <row r="41">
      <c r="A41" s="7">
        <v>45782.0</v>
      </c>
      <c r="B41" s="19">
        <v>45789.0</v>
      </c>
      <c r="C41" s="8">
        <v>298.26</v>
      </c>
      <c r="D41" s="15">
        <v>95.79</v>
      </c>
      <c r="E41" s="36"/>
      <c r="F41" s="37">
        <f t="shared" ref="F41:G41" si="41">(C41-C42)/C42</f>
        <v>0.03847359075</v>
      </c>
      <c r="G41" s="37">
        <f t="shared" si="41"/>
        <v>0.03400259067</v>
      </c>
      <c r="H41" s="38">
        <f t="shared" si="3"/>
        <v>0.03400259067</v>
      </c>
    </row>
    <row r="42">
      <c r="A42" s="4">
        <v>45775.0</v>
      </c>
      <c r="B42" s="14">
        <v>45782.0</v>
      </c>
      <c r="C42" s="5">
        <v>287.21</v>
      </c>
      <c r="D42" s="20">
        <v>92.64</v>
      </c>
      <c r="E42" s="36"/>
      <c r="F42" s="37">
        <f t="shared" ref="F42:G42" si="42">(C42-C43)/C43</f>
        <v>0.007931216003</v>
      </c>
      <c r="G42" s="37">
        <f t="shared" si="42"/>
        <v>-0.01645609937</v>
      </c>
      <c r="H42" s="38">
        <f t="shared" si="3"/>
        <v>-0.01645609937</v>
      </c>
    </row>
    <row r="43">
      <c r="A43" s="7">
        <v>45768.0</v>
      </c>
      <c r="B43" s="19">
        <v>45775.0</v>
      </c>
      <c r="C43" s="8">
        <v>284.95</v>
      </c>
      <c r="D43" s="15">
        <v>94.19</v>
      </c>
      <c r="E43" s="36"/>
      <c r="F43" s="37">
        <f t="shared" ref="F43:G43" si="43">(C43-C44)/C44</f>
        <v>0.1805526785</v>
      </c>
      <c r="G43" s="37">
        <f t="shared" si="43"/>
        <v>0.09740184085</v>
      </c>
      <c r="H43" s="38">
        <f t="shared" si="3"/>
        <v>0.09740184085</v>
      </c>
    </row>
    <row r="44">
      <c r="A44" s="4">
        <v>45761.0</v>
      </c>
      <c r="B44" s="14">
        <v>45768.0</v>
      </c>
      <c r="C44" s="5">
        <v>241.37</v>
      </c>
      <c r="D44" s="20">
        <v>85.83</v>
      </c>
      <c r="E44" s="36"/>
      <c r="F44" s="37">
        <f t="shared" ref="F44:G44" si="44">(C44-C45)/C45</f>
        <v>-0.04335935952</v>
      </c>
      <c r="G44" s="37">
        <f t="shared" si="44"/>
        <v>0.04276515612</v>
      </c>
      <c r="H44" s="38">
        <f t="shared" si="3"/>
        <v>0.04276515612</v>
      </c>
    </row>
    <row r="45">
      <c r="A45" s="7">
        <v>45754.0</v>
      </c>
      <c r="B45" s="19">
        <v>45761.0</v>
      </c>
      <c r="C45" s="8">
        <v>252.31</v>
      </c>
      <c r="D45" s="15">
        <v>82.31</v>
      </c>
      <c r="E45" s="36"/>
      <c r="F45" s="37">
        <f t="shared" ref="F45:G45" si="45">(C45-C46)/C46</f>
        <v>0.05379442843</v>
      </c>
      <c r="G45" s="37">
        <f t="shared" si="45"/>
        <v>-0.02718354804</v>
      </c>
      <c r="H45" s="38">
        <f t="shared" si="3"/>
        <v>-0.02718354804</v>
      </c>
    </row>
    <row r="46">
      <c r="A46" s="4">
        <v>45747.0</v>
      </c>
      <c r="B46" s="14">
        <v>45754.0</v>
      </c>
      <c r="C46" s="5">
        <v>239.43</v>
      </c>
      <c r="D46" s="20">
        <v>84.61</v>
      </c>
      <c r="E46" s="36"/>
      <c r="F46" s="37">
        <f t="shared" ref="F46:G46" si="46">(C46-C47)/C47</f>
        <v>-0.09151963574</v>
      </c>
      <c r="G46" s="37">
        <f t="shared" si="46"/>
        <v>-0.09216738197</v>
      </c>
      <c r="H46" s="38">
        <f t="shared" si="3"/>
        <v>-0.09216738197</v>
      </c>
    </row>
    <row r="47">
      <c r="A47" s="7">
        <v>45740.0</v>
      </c>
      <c r="B47" s="19">
        <v>45747.0</v>
      </c>
      <c r="C47" s="8">
        <v>263.55</v>
      </c>
      <c r="D47" s="15">
        <v>93.2</v>
      </c>
      <c r="E47" s="36"/>
      <c r="F47" s="37">
        <f t="shared" ref="F47:G47" si="47">(C47-C48)/C48</f>
        <v>0.05966788629</v>
      </c>
      <c r="G47" s="37">
        <f t="shared" si="47"/>
        <v>-0.04292462518</v>
      </c>
      <c r="H47" s="38">
        <f t="shared" si="3"/>
        <v>-0.04292462518</v>
      </c>
    </row>
    <row r="48">
      <c r="A48" s="4">
        <v>45733.0</v>
      </c>
      <c r="B48" s="14">
        <v>45740.0</v>
      </c>
      <c r="C48" s="5">
        <v>248.71</v>
      </c>
      <c r="D48" s="20">
        <v>97.38</v>
      </c>
      <c r="E48" s="36"/>
      <c r="F48" s="37">
        <f t="shared" ref="F48:G48" si="48">(C48-C49)/C49</f>
        <v>-0.005080406433</v>
      </c>
      <c r="G48" s="37">
        <f t="shared" si="48"/>
        <v>-0.05474665114</v>
      </c>
      <c r="H48" s="38">
        <f t="shared" si="3"/>
        <v>-0.05474665114</v>
      </c>
    </row>
    <row r="49">
      <c r="A49" s="7">
        <v>45726.0</v>
      </c>
      <c r="B49" s="19">
        <v>45733.0</v>
      </c>
      <c r="C49" s="8">
        <v>249.98</v>
      </c>
      <c r="D49" s="15">
        <v>103.02</v>
      </c>
      <c r="E49" s="36"/>
      <c r="F49" s="37">
        <f t="shared" ref="F49:G49" si="49">(C49-C50)/C50</f>
        <v>-0.04831156965</v>
      </c>
      <c r="G49" s="37">
        <f t="shared" si="49"/>
        <v>-0.01170376055</v>
      </c>
      <c r="H49" s="38">
        <f t="shared" si="3"/>
        <v>-0.01170376055</v>
      </c>
    </row>
    <row r="50">
      <c r="A50" s="4">
        <v>45719.0</v>
      </c>
      <c r="B50" s="14">
        <v>45726.0</v>
      </c>
      <c r="C50" s="5">
        <v>262.67</v>
      </c>
      <c r="D50" s="20">
        <v>104.24</v>
      </c>
      <c r="E50" s="36"/>
      <c r="F50" s="37">
        <f t="shared" ref="F50:G50" si="50">(C50-C51)/C51</f>
        <v>-0.1034541607</v>
      </c>
      <c r="G50" s="37">
        <f t="shared" si="50"/>
        <v>0.03649199562</v>
      </c>
      <c r="H50" s="38">
        <f t="shared" si="3"/>
        <v>0.03649199562</v>
      </c>
    </row>
    <row r="51">
      <c r="A51" s="7">
        <v>45712.0</v>
      </c>
      <c r="B51" s="19">
        <v>45719.0</v>
      </c>
      <c r="C51" s="8">
        <v>292.98</v>
      </c>
      <c r="D51" s="15">
        <v>100.57</v>
      </c>
      <c r="E51" s="36"/>
      <c r="F51" s="37">
        <f t="shared" ref="F51:G51" si="51">(C51-C52)/C52</f>
        <v>-0.1326820604</v>
      </c>
      <c r="G51" s="37">
        <f t="shared" si="51"/>
        <v>0.04586106489</v>
      </c>
      <c r="H51" s="38">
        <f t="shared" si="3"/>
        <v>0.04586106489</v>
      </c>
    </row>
    <row r="52">
      <c r="A52" s="4">
        <v>45705.0</v>
      </c>
      <c r="B52" s="14">
        <v>45712.0</v>
      </c>
      <c r="C52" s="5">
        <v>337.8</v>
      </c>
      <c r="D52" s="20">
        <v>96.16</v>
      </c>
      <c r="E52" s="36"/>
      <c r="F52" s="37">
        <f t="shared" ref="F52:G52" si="52">(C52-C53)/C53</f>
        <v>-0.05069694245</v>
      </c>
      <c r="G52" s="37">
        <f t="shared" si="52"/>
        <v>-0.01161476</v>
      </c>
      <c r="H52" s="38">
        <f t="shared" si="3"/>
        <v>-0.01161476</v>
      </c>
    </row>
    <row r="53">
      <c r="A53" s="7">
        <v>45698.0</v>
      </c>
      <c r="B53" s="19">
        <v>45705.0</v>
      </c>
      <c r="C53" s="8">
        <v>355.84</v>
      </c>
      <c r="D53" s="15">
        <v>97.29</v>
      </c>
      <c r="E53" s="36"/>
      <c r="F53" s="37">
        <f t="shared" ref="F53:G53" si="53">(C53-C54)/C54</f>
        <v>-0.01598362922</v>
      </c>
      <c r="G53" s="37">
        <f t="shared" si="53"/>
        <v>0.07419675389</v>
      </c>
      <c r="H53" s="38">
        <f t="shared" si="3"/>
        <v>0.07419675389</v>
      </c>
    </row>
    <row r="54">
      <c r="A54" s="10">
        <v>45691.0</v>
      </c>
      <c r="B54" s="14">
        <v>45698.0</v>
      </c>
      <c r="C54" s="11">
        <v>361.62</v>
      </c>
      <c r="D54" s="27">
        <v>90.57</v>
      </c>
      <c r="E54" s="36"/>
      <c r="F54" s="8"/>
      <c r="G54" s="8"/>
      <c r="H54" s="39"/>
    </row>
    <row r="55">
      <c r="A55" s="22"/>
      <c r="B55" s="26">
        <v>45691.0</v>
      </c>
      <c r="C55" s="8"/>
      <c r="D55" s="8"/>
      <c r="E55" s="8"/>
      <c r="F55" s="8"/>
      <c r="G55" s="8"/>
      <c r="H55" s="9"/>
    </row>
    <row r="56">
      <c r="A56" s="22"/>
      <c r="B56" s="22"/>
      <c r="C56" s="8"/>
      <c r="D56" s="8"/>
      <c r="E56" s="8"/>
      <c r="F56" s="8"/>
      <c r="G56" s="8"/>
      <c r="H56" s="9"/>
    </row>
    <row r="57">
      <c r="A57" s="22"/>
      <c r="B57" s="22"/>
      <c r="C57" s="8"/>
      <c r="D57" s="8"/>
      <c r="E57" s="8"/>
      <c r="F57" s="8"/>
      <c r="G57" s="8"/>
      <c r="H57" s="9"/>
    </row>
    <row r="58">
      <c r="A58" s="22"/>
      <c r="B58" s="22"/>
      <c r="C58" s="8"/>
      <c r="D58" s="8"/>
      <c r="E58" s="8"/>
      <c r="F58" s="8"/>
      <c r="G58" s="8"/>
      <c r="H58" s="9"/>
    </row>
    <row r="59">
      <c r="A59" s="22"/>
      <c r="B59" s="22"/>
      <c r="C59" s="8"/>
      <c r="D59" s="8"/>
      <c r="E59" s="8"/>
      <c r="F59" s="8"/>
      <c r="G59" s="8"/>
      <c r="H59" s="9"/>
    </row>
    <row r="60">
      <c r="A60" s="22"/>
      <c r="B60" s="22"/>
      <c r="C60" s="8"/>
      <c r="D60" s="8"/>
      <c r="E60" s="8"/>
      <c r="F60" s="8"/>
      <c r="G60" s="8"/>
      <c r="H60" s="9"/>
    </row>
    <row r="61">
      <c r="A61" s="22"/>
      <c r="B61" s="22"/>
      <c r="C61" s="8"/>
      <c r="D61" s="8"/>
      <c r="E61" s="8"/>
      <c r="F61" s="8"/>
      <c r="G61" s="8"/>
      <c r="H61" s="9"/>
    </row>
    <row r="62">
      <c r="A62" s="22"/>
      <c r="B62" s="22"/>
      <c r="C62" s="8"/>
      <c r="D62" s="8"/>
      <c r="E62" s="8"/>
      <c r="F62" s="8"/>
      <c r="G62" s="8"/>
      <c r="H62" s="9"/>
    </row>
    <row r="63">
      <c r="A63" s="22"/>
      <c r="B63" s="22"/>
      <c r="C63" s="8"/>
      <c r="D63" s="8"/>
      <c r="E63" s="8"/>
      <c r="F63" s="8"/>
      <c r="G63" s="8"/>
      <c r="H63" s="9"/>
    </row>
    <row r="64">
      <c r="A64" s="22"/>
      <c r="B64" s="22"/>
      <c r="C64" s="8"/>
      <c r="D64" s="8"/>
      <c r="E64" s="8"/>
      <c r="F64" s="8"/>
      <c r="G64" s="8"/>
      <c r="H64" s="9"/>
    </row>
    <row r="65">
      <c r="A65" s="22"/>
      <c r="B65" s="22"/>
      <c r="C65" s="8"/>
      <c r="D65" s="8"/>
      <c r="E65" s="8"/>
      <c r="F65" s="8"/>
      <c r="G65" s="8"/>
      <c r="H65" s="9"/>
    </row>
    <row r="66">
      <c r="A66" s="22"/>
      <c r="B66" s="22"/>
      <c r="C66" s="8"/>
      <c r="D66" s="8"/>
      <c r="E66" s="8"/>
      <c r="F66" s="8"/>
      <c r="G66" s="8"/>
      <c r="H66" s="9"/>
    </row>
    <row r="67">
      <c r="A67" s="22"/>
      <c r="B67" s="22"/>
      <c r="C67" s="8"/>
      <c r="D67" s="8"/>
      <c r="E67" s="8"/>
      <c r="F67" s="8"/>
      <c r="G67" s="8"/>
      <c r="H67" s="9"/>
    </row>
    <row r="68">
      <c r="A68" s="22"/>
      <c r="B68" s="22"/>
      <c r="C68" s="8"/>
      <c r="D68" s="8"/>
      <c r="E68" s="8"/>
      <c r="F68" s="8"/>
      <c r="G68" s="8"/>
      <c r="H68" s="9"/>
    </row>
    <row r="69">
      <c r="A69" s="22"/>
      <c r="B69" s="22"/>
      <c r="C69" s="8"/>
      <c r="D69" s="8"/>
      <c r="E69" s="8"/>
      <c r="F69" s="8"/>
      <c r="G69" s="8"/>
      <c r="H69" s="9"/>
    </row>
    <row r="70">
      <c r="A70" s="22"/>
      <c r="B70" s="22"/>
      <c r="C70" s="8"/>
      <c r="D70" s="8"/>
      <c r="E70" s="8"/>
      <c r="F70" s="8"/>
      <c r="G70" s="8"/>
      <c r="H70" s="9"/>
    </row>
    <row r="71">
      <c r="A71" s="22"/>
      <c r="B71" s="22"/>
      <c r="C71" s="8"/>
      <c r="D71" s="8"/>
      <c r="E71" s="8"/>
      <c r="F71" s="8"/>
      <c r="G71" s="8"/>
      <c r="H71" s="9"/>
    </row>
    <row r="72">
      <c r="A72" s="22"/>
      <c r="B72" s="22"/>
      <c r="C72" s="8"/>
      <c r="D72" s="8"/>
      <c r="E72" s="8"/>
      <c r="F72" s="8"/>
      <c r="G72" s="8"/>
      <c r="H72" s="9"/>
    </row>
    <row r="73">
      <c r="A73" s="22"/>
      <c r="B73" s="22"/>
      <c r="C73" s="8"/>
      <c r="D73" s="8"/>
      <c r="E73" s="8"/>
      <c r="F73" s="8"/>
      <c r="G73" s="8"/>
      <c r="H73" s="9"/>
    </row>
    <row r="74">
      <c r="A74" s="22"/>
      <c r="B74" s="22"/>
      <c r="C74" s="8"/>
      <c r="D74" s="8"/>
      <c r="E74" s="8"/>
      <c r="F74" s="8"/>
      <c r="G74" s="8"/>
      <c r="H74" s="9"/>
    </row>
    <row r="75">
      <c r="A75" s="22"/>
      <c r="B75" s="22"/>
      <c r="C75" s="8"/>
      <c r="D75" s="8"/>
      <c r="E75" s="8"/>
      <c r="F75" s="8"/>
      <c r="G75" s="8"/>
      <c r="H75" s="9"/>
    </row>
    <row r="76">
      <c r="A76" s="22"/>
      <c r="B76" s="22"/>
      <c r="C76" s="8"/>
      <c r="D76" s="8"/>
      <c r="E76" s="8"/>
      <c r="F76" s="8"/>
      <c r="G76" s="8"/>
      <c r="H76" s="9"/>
    </row>
    <row r="77">
      <c r="A77" s="22"/>
      <c r="B77" s="22"/>
      <c r="C77" s="8"/>
      <c r="D77" s="8"/>
      <c r="E77" s="8"/>
      <c r="F77" s="8"/>
      <c r="G77" s="8"/>
      <c r="H77" s="9"/>
    </row>
    <row r="78">
      <c r="A78" s="22"/>
      <c r="B78" s="22"/>
      <c r="C78" s="8"/>
      <c r="D78" s="8"/>
      <c r="E78" s="8"/>
      <c r="F78" s="8"/>
      <c r="G78" s="8"/>
      <c r="H78" s="9"/>
    </row>
    <row r="79">
      <c r="A79" s="22"/>
      <c r="B79" s="22"/>
      <c r="C79" s="8"/>
      <c r="D79" s="8"/>
      <c r="E79" s="8"/>
      <c r="F79" s="8"/>
      <c r="G79" s="8"/>
      <c r="H79" s="9"/>
    </row>
    <row r="80">
      <c r="A80" s="22"/>
      <c r="B80" s="22"/>
      <c r="C80" s="8"/>
      <c r="D80" s="8"/>
      <c r="E80" s="8"/>
      <c r="F80" s="8"/>
      <c r="G80" s="8"/>
      <c r="H80" s="9"/>
    </row>
    <row r="81">
      <c r="A81" s="22"/>
      <c r="B81" s="22"/>
      <c r="C81" s="8"/>
      <c r="D81" s="8"/>
      <c r="E81" s="8"/>
      <c r="F81" s="8"/>
      <c r="G81" s="8"/>
      <c r="H81" s="9"/>
    </row>
    <row r="82">
      <c r="A82" s="22"/>
      <c r="B82" s="22"/>
      <c r="C82" s="8"/>
      <c r="D82" s="8"/>
      <c r="E82" s="8"/>
      <c r="F82" s="8"/>
      <c r="G82" s="8"/>
      <c r="H82" s="9"/>
    </row>
    <row r="83">
      <c r="A83" s="22"/>
      <c r="B83" s="22"/>
      <c r="C83" s="8"/>
      <c r="D83" s="8"/>
      <c r="E83" s="8"/>
      <c r="F83" s="8"/>
      <c r="G83" s="8"/>
      <c r="H83" s="9"/>
    </row>
    <row r="84">
      <c r="A84" s="22"/>
      <c r="B84" s="22"/>
      <c r="C84" s="8"/>
      <c r="D84" s="8"/>
      <c r="E84" s="8"/>
      <c r="F84" s="8"/>
      <c r="G84" s="8"/>
      <c r="H84" s="9"/>
    </row>
    <row r="85">
      <c r="A85" s="22"/>
      <c r="B85" s="22"/>
      <c r="C85" s="8"/>
      <c r="D85" s="8"/>
      <c r="E85" s="8"/>
      <c r="F85" s="8"/>
      <c r="G85" s="8"/>
      <c r="H85" s="9"/>
    </row>
    <row r="86">
      <c r="A86" s="22"/>
      <c r="B86" s="22"/>
      <c r="C86" s="8"/>
      <c r="D86" s="8"/>
      <c r="E86" s="8"/>
      <c r="F86" s="8"/>
      <c r="G86" s="8"/>
      <c r="H86" s="9"/>
    </row>
    <row r="87">
      <c r="A87" s="22"/>
      <c r="B87" s="22"/>
      <c r="C87" s="8"/>
      <c r="D87" s="8"/>
      <c r="E87" s="8"/>
      <c r="F87" s="8"/>
      <c r="G87" s="8"/>
      <c r="H87" s="9"/>
    </row>
    <row r="88">
      <c r="A88" s="22"/>
      <c r="B88" s="22"/>
      <c r="C88" s="8"/>
      <c r="D88" s="8"/>
      <c r="E88" s="8"/>
      <c r="F88" s="8"/>
      <c r="G88" s="8"/>
      <c r="H88" s="9"/>
    </row>
    <row r="89">
      <c r="A89" s="22"/>
      <c r="B89" s="22"/>
      <c r="C89" s="8"/>
      <c r="D89" s="8"/>
      <c r="E89" s="8"/>
      <c r="F89" s="8"/>
      <c r="G89" s="8"/>
      <c r="H89" s="9"/>
    </row>
    <row r="90">
      <c r="A90" s="22"/>
      <c r="B90" s="22"/>
      <c r="C90" s="8"/>
      <c r="D90" s="8"/>
      <c r="E90" s="8"/>
      <c r="F90" s="8"/>
      <c r="G90" s="8"/>
      <c r="H90" s="9"/>
    </row>
    <row r="91">
      <c r="A91" s="22"/>
      <c r="B91" s="22"/>
      <c r="C91" s="8"/>
      <c r="D91" s="8"/>
      <c r="E91" s="8"/>
      <c r="F91" s="8"/>
      <c r="G91" s="8"/>
      <c r="H91" s="9"/>
    </row>
    <row r="92">
      <c r="A92" s="22"/>
      <c r="B92" s="22"/>
      <c r="C92" s="8"/>
      <c r="D92" s="8"/>
      <c r="E92" s="8"/>
      <c r="F92" s="8"/>
      <c r="G92" s="8"/>
      <c r="H92" s="9"/>
    </row>
    <row r="93">
      <c r="A93" s="22"/>
      <c r="B93" s="22"/>
      <c r="C93" s="8"/>
      <c r="D93" s="8"/>
      <c r="E93" s="8"/>
      <c r="F93" s="8"/>
      <c r="G93" s="8"/>
      <c r="H93" s="9"/>
    </row>
    <row r="94">
      <c r="A94" s="22"/>
      <c r="B94" s="22"/>
      <c r="C94" s="8"/>
      <c r="D94" s="8"/>
      <c r="E94" s="8"/>
      <c r="F94" s="8"/>
      <c r="G94" s="8"/>
      <c r="H94" s="9"/>
    </row>
    <row r="95">
      <c r="A95" s="22"/>
      <c r="B95" s="22"/>
      <c r="C95" s="8"/>
      <c r="D95" s="8"/>
      <c r="E95" s="8"/>
      <c r="F95" s="8"/>
      <c r="G95" s="8"/>
      <c r="H95" s="9"/>
    </row>
    <row r="96">
      <c r="A96" s="22"/>
      <c r="B96" s="22"/>
      <c r="C96" s="8"/>
      <c r="D96" s="8"/>
      <c r="E96" s="8"/>
      <c r="F96" s="8"/>
      <c r="G96" s="8"/>
      <c r="H96" s="9"/>
    </row>
    <row r="97">
      <c r="A97" s="22"/>
      <c r="B97" s="22"/>
      <c r="C97" s="8"/>
      <c r="D97" s="8"/>
      <c r="E97" s="8"/>
      <c r="F97" s="8"/>
      <c r="G97" s="8"/>
      <c r="H97" s="9"/>
    </row>
    <row r="98">
      <c r="A98" s="22"/>
      <c r="B98" s="22"/>
      <c r="C98" s="8"/>
      <c r="D98" s="8"/>
      <c r="E98" s="8"/>
      <c r="F98" s="8"/>
      <c r="G98" s="8"/>
      <c r="H98" s="9"/>
    </row>
    <row r="99">
      <c r="A99" s="22"/>
      <c r="B99" s="22"/>
      <c r="C99" s="8"/>
      <c r="D99" s="8"/>
      <c r="E99" s="8"/>
      <c r="F99" s="8"/>
      <c r="G99" s="8"/>
      <c r="H99" s="9"/>
    </row>
    <row r="100">
      <c r="A100" s="22"/>
      <c r="B100" s="22"/>
      <c r="C100" s="8"/>
      <c r="D100" s="8"/>
      <c r="E100" s="8"/>
      <c r="F100" s="8"/>
      <c r="G100" s="8"/>
      <c r="H100" s="9"/>
    </row>
    <row r="101">
      <c r="A101" s="22"/>
      <c r="B101" s="22"/>
      <c r="C101" s="8"/>
      <c r="D101" s="8"/>
      <c r="E101" s="8"/>
      <c r="F101" s="8"/>
      <c r="G101" s="8"/>
      <c r="H101" s="9"/>
    </row>
    <row r="102">
      <c r="A102" s="22"/>
      <c r="B102" s="22"/>
      <c r="C102" s="8"/>
      <c r="D102" s="8"/>
      <c r="E102" s="8"/>
      <c r="F102" s="8"/>
      <c r="G102" s="8"/>
      <c r="H102" s="9"/>
    </row>
    <row r="103">
      <c r="A103" s="22"/>
      <c r="B103" s="22"/>
      <c r="C103" s="8"/>
      <c r="D103" s="8"/>
      <c r="E103" s="8"/>
      <c r="F103" s="8"/>
      <c r="G103" s="8"/>
      <c r="H103" s="9"/>
    </row>
    <row r="104">
      <c r="A104" s="22"/>
      <c r="B104" s="22"/>
      <c r="C104" s="8"/>
      <c r="D104" s="8"/>
      <c r="E104" s="8"/>
      <c r="F104" s="8"/>
      <c r="G104" s="8"/>
      <c r="H104" s="9"/>
    </row>
    <row r="105">
      <c r="A105" s="22"/>
      <c r="B105" s="22"/>
      <c r="C105" s="8"/>
      <c r="D105" s="8"/>
      <c r="E105" s="8"/>
      <c r="F105" s="8"/>
      <c r="G105" s="8"/>
      <c r="H105" s="9"/>
    </row>
    <row r="106">
      <c r="A106" s="22"/>
      <c r="B106" s="22"/>
      <c r="C106" s="8"/>
      <c r="D106" s="8"/>
      <c r="E106" s="8"/>
      <c r="F106" s="8"/>
      <c r="G106" s="8"/>
      <c r="H106" s="9"/>
    </row>
    <row r="107">
      <c r="A107" s="22"/>
      <c r="B107" s="22"/>
      <c r="C107" s="8"/>
      <c r="D107" s="8"/>
      <c r="E107" s="8"/>
      <c r="F107" s="8"/>
      <c r="G107" s="8"/>
      <c r="H107" s="9"/>
    </row>
    <row r="108">
      <c r="A108" s="22"/>
      <c r="B108" s="22"/>
      <c r="C108" s="8"/>
      <c r="D108" s="8"/>
      <c r="E108" s="8"/>
      <c r="F108" s="8"/>
      <c r="G108" s="8"/>
      <c r="H108" s="9"/>
    </row>
    <row r="109">
      <c r="A109" s="22"/>
      <c r="B109" s="22"/>
      <c r="C109" s="8"/>
      <c r="D109" s="8"/>
      <c r="E109" s="8"/>
      <c r="F109" s="8"/>
      <c r="G109" s="8"/>
      <c r="H109" s="9"/>
    </row>
    <row r="110">
      <c r="A110" s="22"/>
      <c r="B110" s="22"/>
      <c r="C110" s="8"/>
      <c r="D110" s="8"/>
      <c r="E110" s="8"/>
      <c r="F110" s="8"/>
      <c r="G110" s="8"/>
      <c r="H110" s="9"/>
    </row>
    <row r="111">
      <c r="A111" s="22"/>
      <c r="B111" s="22"/>
      <c r="C111" s="8"/>
      <c r="D111" s="8"/>
      <c r="E111" s="8"/>
      <c r="F111" s="8"/>
      <c r="G111" s="8"/>
      <c r="H111" s="9"/>
    </row>
    <row r="112">
      <c r="A112" s="22"/>
      <c r="B112" s="22"/>
      <c r="C112" s="8"/>
      <c r="D112" s="8"/>
      <c r="E112" s="8"/>
      <c r="F112" s="8"/>
      <c r="G112" s="8"/>
      <c r="H112" s="9"/>
    </row>
    <row r="113">
      <c r="A113" s="22"/>
      <c r="B113" s="22"/>
      <c r="C113" s="8"/>
      <c r="D113" s="8"/>
      <c r="E113" s="8"/>
      <c r="F113" s="8"/>
      <c r="G113" s="8"/>
      <c r="H113" s="9"/>
    </row>
    <row r="114">
      <c r="A114" s="22"/>
      <c r="B114" s="22"/>
      <c r="C114" s="8"/>
      <c r="D114" s="8"/>
      <c r="E114" s="8"/>
      <c r="F114" s="8"/>
      <c r="G114" s="8"/>
      <c r="H114" s="9"/>
    </row>
    <row r="115">
      <c r="A115" s="22"/>
      <c r="B115" s="22"/>
      <c r="C115" s="8"/>
      <c r="D115" s="8"/>
      <c r="E115" s="8"/>
      <c r="F115" s="8"/>
      <c r="G115" s="8"/>
      <c r="H115" s="9"/>
    </row>
    <row r="116">
      <c r="A116" s="22"/>
      <c r="B116" s="22"/>
      <c r="C116" s="8"/>
      <c r="D116" s="8"/>
      <c r="E116" s="8"/>
      <c r="F116" s="8"/>
      <c r="G116" s="8"/>
      <c r="H116" s="9"/>
    </row>
    <row r="117">
      <c r="A117" s="22"/>
      <c r="B117" s="22"/>
      <c r="C117" s="8"/>
      <c r="D117" s="8"/>
      <c r="E117" s="8"/>
      <c r="F117" s="8"/>
      <c r="G117" s="8"/>
      <c r="H117" s="9"/>
    </row>
    <row r="118">
      <c r="A118" s="22"/>
      <c r="B118" s="22"/>
      <c r="C118" s="8"/>
      <c r="D118" s="8"/>
      <c r="E118" s="8"/>
      <c r="F118" s="8"/>
      <c r="G118" s="8"/>
      <c r="H118" s="9"/>
    </row>
    <row r="119">
      <c r="A119" s="22"/>
      <c r="B119" s="22"/>
      <c r="C119" s="8"/>
      <c r="D119" s="8"/>
      <c r="E119" s="8"/>
      <c r="F119" s="8"/>
      <c r="G119" s="8"/>
      <c r="H119" s="9"/>
    </row>
    <row r="120">
      <c r="A120" s="22"/>
      <c r="B120" s="22"/>
      <c r="C120" s="8"/>
      <c r="D120" s="8"/>
      <c r="E120" s="8"/>
      <c r="F120" s="8"/>
      <c r="G120" s="8"/>
      <c r="H120" s="9"/>
    </row>
    <row r="121">
      <c r="A121" s="22"/>
      <c r="B121" s="22"/>
      <c r="C121" s="8"/>
      <c r="D121" s="8"/>
      <c r="E121" s="8"/>
      <c r="F121" s="8"/>
      <c r="G121" s="8"/>
      <c r="H121" s="9"/>
    </row>
    <row r="122">
      <c r="A122" s="22"/>
      <c r="B122" s="22"/>
      <c r="C122" s="8"/>
      <c r="D122" s="8"/>
      <c r="E122" s="8"/>
      <c r="F122" s="8"/>
      <c r="G122" s="8"/>
      <c r="H122" s="9"/>
    </row>
    <row r="123">
      <c r="A123" s="22"/>
      <c r="B123" s="22"/>
      <c r="C123" s="8"/>
      <c r="D123" s="8"/>
      <c r="E123" s="8"/>
      <c r="F123" s="8"/>
      <c r="G123" s="8"/>
      <c r="H123" s="9"/>
    </row>
    <row r="124">
      <c r="A124" s="22"/>
      <c r="B124" s="22"/>
      <c r="C124" s="8"/>
      <c r="D124" s="8"/>
      <c r="E124" s="8"/>
      <c r="F124" s="8"/>
      <c r="G124" s="8"/>
      <c r="H124" s="9"/>
    </row>
    <row r="125">
      <c r="A125" s="22"/>
      <c r="B125" s="22"/>
      <c r="C125" s="8"/>
      <c r="D125" s="8"/>
      <c r="E125" s="8"/>
      <c r="F125" s="8"/>
      <c r="G125" s="8"/>
      <c r="H125" s="9"/>
    </row>
    <row r="126">
      <c r="A126" s="22"/>
      <c r="B126" s="22"/>
      <c r="C126" s="8"/>
      <c r="D126" s="8"/>
      <c r="E126" s="8"/>
      <c r="F126" s="8"/>
      <c r="G126" s="8"/>
      <c r="H126" s="9"/>
    </row>
    <row r="127">
      <c r="A127" s="22"/>
      <c r="B127" s="22"/>
      <c r="C127" s="8"/>
      <c r="D127" s="8"/>
      <c r="E127" s="8"/>
      <c r="F127" s="8"/>
      <c r="G127" s="8"/>
      <c r="H127" s="9"/>
    </row>
    <row r="128">
      <c r="A128" s="22"/>
      <c r="B128" s="22"/>
      <c r="C128" s="8"/>
      <c r="D128" s="8"/>
      <c r="E128" s="8"/>
      <c r="F128" s="8"/>
      <c r="G128" s="8"/>
      <c r="H128" s="9"/>
    </row>
    <row r="129">
      <c r="A129" s="22"/>
      <c r="B129" s="22"/>
      <c r="C129" s="8"/>
      <c r="D129" s="8"/>
      <c r="E129" s="8"/>
      <c r="F129" s="8"/>
      <c r="G129" s="8"/>
      <c r="H129" s="9"/>
    </row>
    <row r="130">
      <c r="A130" s="22"/>
      <c r="B130" s="22"/>
      <c r="C130" s="8"/>
      <c r="D130" s="8"/>
      <c r="E130" s="8"/>
      <c r="F130" s="8"/>
      <c r="G130" s="8"/>
      <c r="H130" s="9"/>
    </row>
    <row r="131">
      <c r="A131" s="22"/>
      <c r="B131" s="22"/>
      <c r="C131" s="8"/>
      <c r="D131" s="8"/>
      <c r="E131" s="8"/>
      <c r="F131" s="8"/>
      <c r="G131" s="8"/>
      <c r="H131" s="9"/>
    </row>
    <row r="132">
      <c r="A132" s="22"/>
      <c r="B132" s="22"/>
      <c r="C132" s="8"/>
      <c r="D132" s="8"/>
      <c r="E132" s="8"/>
      <c r="F132" s="8"/>
      <c r="G132" s="8"/>
      <c r="H132" s="9"/>
    </row>
    <row r="133">
      <c r="A133" s="22"/>
      <c r="B133" s="22"/>
      <c r="C133" s="8"/>
      <c r="D133" s="8"/>
      <c r="E133" s="8"/>
      <c r="F133" s="8"/>
      <c r="G133" s="8"/>
      <c r="H133" s="9"/>
    </row>
    <row r="134">
      <c r="A134" s="22"/>
      <c r="B134" s="22"/>
      <c r="C134" s="8"/>
      <c r="D134" s="8"/>
      <c r="E134" s="8"/>
      <c r="F134" s="8"/>
      <c r="G134" s="8"/>
      <c r="H134" s="9"/>
    </row>
    <row r="135">
      <c r="A135" s="22"/>
      <c r="B135" s="22"/>
      <c r="C135" s="8"/>
      <c r="D135" s="8"/>
      <c r="E135" s="8"/>
      <c r="F135" s="8"/>
      <c r="G135" s="8"/>
      <c r="H135" s="9"/>
    </row>
    <row r="136">
      <c r="A136" s="22"/>
      <c r="B136" s="22"/>
      <c r="C136" s="8"/>
      <c r="D136" s="8"/>
      <c r="E136" s="8"/>
      <c r="F136" s="8"/>
      <c r="G136" s="8"/>
      <c r="H136" s="9"/>
    </row>
    <row r="137">
      <c r="A137" s="22"/>
      <c r="B137" s="22"/>
      <c r="C137" s="8"/>
      <c r="D137" s="8"/>
      <c r="E137" s="8"/>
      <c r="F137" s="8"/>
      <c r="G137" s="8"/>
      <c r="H137" s="9"/>
    </row>
    <row r="138">
      <c r="A138" s="22"/>
      <c r="B138" s="22"/>
      <c r="C138" s="8"/>
      <c r="D138" s="8"/>
      <c r="E138" s="8"/>
      <c r="F138" s="8"/>
      <c r="G138" s="8"/>
      <c r="H138" s="9"/>
    </row>
    <row r="139">
      <c r="A139" s="22"/>
      <c r="B139" s="22"/>
      <c r="C139" s="8"/>
      <c r="D139" s="8"/>
      <c r="E139" s="8"/>
      <c r="F139" s="8"/>
      <c r="G139" s="8"/>
      <c r="H139" s="9"/>
    </row>
    <row r="140">
      <c r="A140" s="22"/>
      <c r="B140" s="22"/>
      <c r="C140" s="8"/>
      <c r="D140" s="8"/>
      <c r="E140" s="8"/>
      <c r="F140" s="8"/>
      <c r="G140" s="8"/>
      <c r="H140" s="9"/>
    </row>
    <row r="141">
      <c r="A141" s="22"/>
      <c r="B141" s="22"/>
      <c r="C141" s="8"/>
      <c r="D141" s="8"/>
      <c r="E141" s="8"/>
      <c r="F141" s="8"/>
      <c r="G141" s="8"/>
      <c r="H141" s="9"/>
    </row>
    <row r="142">
      <c r="A142" s="22"/>
      <c r="B142" s="22"/>
      <c r="C142" s="8"/>
      <c r="D142" s="8"/>
      <c r="E142" s="8"/>
      <c r="F142" s="8"/>
      <c r="G142" s="8"/>
      <c r="H142" s="9"/>
    </row>
    <row r="143">
      <c r="A143" s="22"/>
      <c r="B143" s="22"/>
      <c r="C143" s="8"/>
      <c r="D143" s="8"/>
      <c r="E143" s="8"/>
      <c r="F143" s="8"/>
      <c r="G143" s="8"/>
      <c r="H143" s="9"/>
    </row>
    <row r="144">
      <c r="A144" s="22"/>
      <c r="B144" s="22"/>
      <c r="C144" s="8"/>
      <c r="D144" s="8"/>
      <c r="E144" s="8"/>
      <c r="F144" s="8"/>
      <c r="G144" s="8"/>
      <c r="H144" s="9"/>
    </row>
    <row r="145">
      <c r="A145" s="22"/>
      <c r="B145" s="22"/>
      <c r="C145" s="8"/>
      <c r="D145" s="8"/>
      <c r="E145" s="8"/>
      <c r="F145" s="8"/>
      <c r="G145" s="8"/>
      <c r="H145" s="9"/>
    </row>
    <row r="146">
      <c r="A146" s="22"/>
      <c r="B146" s="22"/>
      <c r="C146" s="8"/>
      <c r="D146" s="8"/>
      <c r="E146" s="8"/>
      <c r="F146" s="8"/>
      <c r="G146" s="8"/>
      <c r="H146" s="9"/>
    </row>
    <row r="147">
      <c r="A147" s="22"/>
      <c r="B147" s="22"/>
      <c r="C147" s="8"/>
      <c r="D147" s="8"/>
      <c r="E147" s="8"/>
      <c r="F147" s="8"/>
      <c r="G147" s="8"/>
      <c r="H147" s="9"/>
    </row>
    <row r="148">
      <c r="A148" s="22"/>
      <c r="B148" s="22"/>
      <c r="C148" s="8"/>
      <c r="D148" s="8"/>
      <c r="E148" s="8"/>
      <c r="F148" s="8"/>
      <c r="G148" s="8"/>
      <c r="H148" s="9"/>
    </row>
    <row r="149">
      <c r="A149" s="22"/>
      <c r="B149" s="22"/>
      <c r="C149" s="8"/>
      <c r="D149" s="8"/>
      <c r="E149" s="8"/>
      <c r="F149" s="8"/>
      <c r="G149" s="8"/>
      <c r="H149" s="9"/>
    </row>
    <row r="150">
      <c r="A150" s="22"/>
      <c r="B150" s="22"/>
      <c r="C150" s="8"/>
      <c r="D150" s="8"/>
      <c r="E150" s="8"/>
      <c r="F150" s="8"/>
      <c r="G150" s="8"/>
      <c r="H150" s="9"/>
    </row>
    <row r="151">
      <c r="A151" s="22"/>
      <c r="B151" s="22"/>
      <c r="C151" s="8"/>
      <c r="D151" s="8"/>
      <c r="E151" s="8"/>
      <c r="F151" s="8"/>
      <c r="G151" s="8"/>
      <c r="H151" s="9"/>
    </row>
    <row r="152">
      <c r="A152" s="22"/>
      <c r="B152" s="22"/>
      <c r="C152" s="8"/>
      <c r="D152" s="8"/>
      <c r="E152" s="8"/>
      <c r="F152" s="8"/>
      <c r="G152" s="8"/>
      <c r="H152" s="9"/>
    </row>
    <row r="153">
      <c r="A153" s="22"/>
      <c r="B153" s="22"/>
      <c r="C153" s="8"/>
      <c r="D153" s="8"/>
      <c r="E153" s="8"/>
      <c r="F153" s="8"/>
      <c r="G153" s="8"/>
      <c r="H153" s="9"/>
    </row>
    <row r="154">
      <c r="A154" s="22"/>
      <c r="B154" s="22"/>
      <c r="C154" s="8"/>
      <c r="D154" s="8"/>
      <c r="E154" s="8"/>
      <c r="F154" s="8"/>
      <c r="G154" s="8"/>
      <c r="H154" s="9"/>
    </row>
    <row r="155">
      <c r="A155" s="22"/>
      <c r="B155" s="22"/>
      <c r="C155" s="8"/>
      <c r="D155" s="8"/>
      <c r="E155" s="8"/>
      <c r="F155" s="8"/>
      <c r="G155" s="8"/>
      <c r="H155" s="9"/>
    </row>
    <row r="156">
      <c r="A156" s="22"/>
      <c r="B156" s="22"/>
      <c r="C156" s="8"/>
      <c r="D156" s="8"/>
      <c r="E156" s="8"/>
      <c r="F156" s="8"/>
      <c r="G156" s="8"/>
      <c r="H156" s="9"/>
    </row>
    <row r="157">
      <c r="A157" s="22"/>
      <c r="B157" s="22"/>
      <c r="C157" s="8"/>
      <c r="D157" s="8"/>
      <c r="E157" s="8"/>
      <c r="F157" s="8"/>
      <c r="G157" s="8"/>
      <c r="H157" s="9"/>
    </row>
    <row r="158">
      <c r="A158" s="22"/>
      <c r="B158" s="22"/>
      <c r="C158" s="8"/>
      <c r="D158" s="8"/>
      <c r="E158" s="8"/>
      <c r="F158" s="8"/>
      <c r="G158" s="8"/>
      <c r="H158" s="9"/>
    </row>
    <row r="159">
      <c r="A159" s="22"/>
      <c r="B159" s="22"/>
      <c r="C159" s="8"/>
      <c r="D159" s="8"/>
      <c r="E159" s="8"/>
      <c r="F159" s="8"/>
      <c r="G159" s="8"/>
      <c r="H159" s="9"/>
    </row>
    <row r="160">
      <c r="A160" s="22"/>
      <c r="B160" s="22"/>
      <c r="C160" s="8"/>
      <c r="D160" s="8"/>
      <c r="E160" s="8"/>
      <c r="F160" s="8"/>
      <c r="G160" s="8"/>
      <c r="H160" s="9"/>
    </row>
    <row r="161">
      <c r="A161" s="22"/>
      <c r="B161" s="22"/>
      <c r="C161" s="8"/>
      <c r="D161" s="8"/>
      <c r="E161" s="8"/>
      <c r="F161" s="8"/>
      <c r="G161" s="8"/>
      <c r="H161" s="9"/>
    </row>
    <row r="162">
      <c r="A162" s="22"/>
      <c r="B162" s="22"/>
      <c r="C162" s="8"/>
      <c r="D162" s="8"/>
      <c r="E162" s="8"/>
      <c r="F162" s="8"/>
      <c r="G162" s="8"/>
      <c r="H162" s="9"/>
    </row>
    <row r="163">
      <c r="A163" s="22"/>
      <c r="B163" s="22"/>
      <c r="C163" s="8"/>
      <c r="D163" s="8"/>
      <c r="E163" s="8"/>
      <c r="F163" s="8"/>
      <c r="G163" s="8"/>
      <c r="H163" s="9"/>
    </row>
    <row r="164">
      <c r="A164" s="22"/>
      <c r="B164" s="22"/>
      <c r="C164" s="8"/>
      <c r="D164" s="8"/>
      <c r="E164" s="8"/>
      <c r="F164" s="8"/>
      <c r="G164" s="8"/>
      <c r="H164" s="9"/>
    </row>
    <row r="165">
      <c r="A165" s="22"/>
      <c r="B165" s="22"/>
      <c r="C165" s="8"/>
      <c r="D165" s="8"/>
      <c r="E165" s="8"/>
      <c r="F165" s="8"/>
      <c r="G165" s="8"/>
      <c r="H165" s="9"/>
    </row>
    <row r="166">
      <c r="A166" s="22"/>
      <c r="B166" s="22"/>
      <c r="C166" s="8"/>
      <c r="D166" s="8"/>
      <c r="E166" s="8"/>
      <c r="F166" s="8"/>
      <c r="G166" s="8"/>
      <c r="H166" s="9"/>
    </row>
    <row r="167">
      <c r="A167" s="22"/>
      <c r="B167" s="22"/>
      <c r="C167" s="8"/>
      <c r="D167" s="8"/>
      <c r="E167" s="8"/>
      <c r="F167" s="8"/>
      <c r="G167" s="8"/>
      <c r="H167" s="9"/>
    </row>
    <row r="168">
      <c r="A168" s="22"/>
      <c r="B168" s="22"/>
      <c r="C168" s="8"/>
      <c r="D168" s="8"/>
      <c r="E168" s="8"/>
      <c r="F168" s="8"/>
      <c r="G168" s="8"/>
      <c r="H168" s="9"/>
    </row>
    <row r="169">
      <c r="A169" s="22"/>
      <c r="B169" s="22"/>
      <c r="C169" s="8"/>
      <c r="D169" s="8"/>
      <c r="E169" s="8"/>
      <c r="F169" s="8"/>
      <c r="G169" s="8"/>
      <c r="H169" s="9"/>
    </row>
    <row r="170">
      <c r="A170" s="22"/>
      <c r="B170" s="22"/>
      <c r="C170" s="8"/>
      <c r="D170" s="8"/>
      <c r="E170" s="8"/>
      <c r="F170" s="8"/>
      <c r="G170" s="8"/>
      <c r="H170" s="9"/>
    </row>
    <row r="171">
      <c r="A171" s="24"/>
      <c r="B171" s="24"/>
      <c r="C171" s="8"/>
      <c r="D171" s="8"/>
      <c r="E171" s="8"/>
      <c r="F171" s="8"/>
      <c r="G171" s="8"/>
      <c r="H171" s="9"/>
    </row>
    <row r="172">
      <c r="A172" s="24"/>
      <c r="B172" s="24"/>
      <c r="C172" s="8"/>
      <c r="D172" s="8"/>
      <c r="E172" s="8"/>
      <c r="F172" s="8"/>
      <c r="G172" s="8"/>
      <c r="H172" s="9"/>
    </row>
    <row r="173">
      <c r="A173" s="24"/>
      <c r="B173" s="24"/>
      <c r="C173" s="8"/>
      <c r="D173" s="8"/>
      <c r="E173" s="8"/>
      <c r="F173" s="8"/>
      <c r="G173" s="8"/>
      <c r="H173" s="9"/>
    </row>
    <row r="174">
      <c r="A174" s="24"/>
      <c r="B174" s="24"/>
      <c r="C174" s="8"/>
      <c r="D174" s="8"/>
      <c r="E174" s="8"/>
      <c r="F174" s="8"/>
      <c r="G174" s="8"/>
      <c r="H174" s="9"/>
    </row>
    <row r="175">
      <c r="A175" s="24"/>
      <c r="B175" s="24"/>
      <c r="C175" s="8"/>
      <c r="D175" s="8"/>
      <c r="E175" s="8"/>
      <c r="F175" s="8"/>
      <c r="G175" s="8"/>
      <c r="H175" s="9"/>
    </row>
    <row r="176">
      <c r="A176" s="24"/>
      <c r="B176" s="24"/>
      <c r="C176" s="8"/>
      <c r="D176" s="8"/>
      <c r="E176" s="8"/>
      <c r="F176" s="8"/>
      <c r="G176" s="8"/>
      <c r="H176" s="9"/>
    </row>
    <row r="177">
      <c r="A177" s="24"/>
      <c r="B177" s="24"/>
      <c r="C177" s="8"/>
      <c r="D177" s="8"/>
      <c r="E177" s="8"/>
      <c r="F177" s="8"/>
      <c r="G177" s="8"/>
      <c r="H177" s="9"/>
    </row>
    <row r="178">
      <c r="A178" s="24"/>
      <c r="B178" s="24"/>
      <c r="C178" s="8"/>
      <c r="D178" s="8"/>
      <c r="E178" s="8"/>
      <c r="F178" s="8"/>
      <c r="G178" s="8"/>
      <c r="H178" s="9"/>
    </row>
    <row r="179">
      <c r="A179" s="24"/>
      <c r="B179" s="24"/>
      <c r="C179" s="8"/>
      <c r="D179" s="8"/>
      <c r="E179" s="8"/>
      <c r="F179" s="8"/>
      <c r="G179" s="8"/>
      <c r="H179" s="9"/>
    </row>
    <row r="180">
      <c r="A180" s="24"/>
      <c r="B180" s="24"/>
      <c r="C180" s="8"/>
      <c r="D180" s="8"/>
      <c r="E180" s="8"/>
      <c r="F180" s="8"/>
      <c r="G180" s="8"/>
      <c r="H180" s="9"/>
    </row>
    <row r="181">
      <c r="A181" s="24"/>
      <c r="B181" s="24"/>
      <c r="C181" s="8"/>
      <c r="D181" s="8"/>
      <c r="E181" s="8"/>
      <c r="F181" s="8"/>
      <c r="G181" s="8"/>
      <c r="H181" s="9"/>
    </row>
    <row r="182">
      <c r="A182" s="24"/>
      <c r="B182" s="24"/>
      <c r="C182" s="8"/>
      <c r="D182" s="8"/>
      <c r="E182" s="8"/>
      <c r="F182" s="8"/>
      <c r="G182" s="8"/>
      <c r="H182" s="9"/>
    </row>
    <row r="183">
      <c r="A183" s="24"/>
      <c r="B183" s="24"/>
      <c r="C183" s="8"/>
      <c r="D183" s="8"/>
      <c r="E183" s="8"/>
      <c r="F183" s="8"/>
      <c r="G183" s="8"/>
      <c r="H183" s="9"/>
    </row>
    <row r="184">
      <c r="A184" s="24"/>
      <c r="B184" s="24"/>
      <c r="C184" s="8"/>
      <c r="D184" s="8"/>
      <c r="E184" s="8"/>
      <c r="F184" s="8"/>
      <c r="G184" s="8"/>
      <c r="H184" s="9"/>
    </row>
    <row r="185">
      <c r="A185" s="24"/>
      <c r="B185" s="24"/>
      <c r="C185" s="8"/>
      <c r="D185" s="8"/>
      <c r="E185" s="8"/>
      <c r="F185" s="8"/>
      <c r="G185" s="8"/>
      <c r="H185" s="9"/>
    </row>
    <row r="186">
      <c r="A186" s="24"/>
      <c r="B186" s="24"/>
      <c r="C186" s="8"/>
      <c r="D186" s="8"/>
      <c r="E186" s="8"/>
      <c r="F186" s="8"/>
      <c r="G186" s="8"/>
      <c r="H186" s="9"/>
    </row>
    <row r="187">
      <c r="A187" s="24"/>
      <c r="B187" s="24"/>
      <c r="C187" s="8"/>
      <c r="D187" s="8"/>
      <c r="E187" s="8"/>
      <c r="F187" s="8"/>
      <c r="G187" s="8"/>
      <c r="H187" s="9"/>
    </row>
    <row r="188">
      <c r="A188" s="24"/>
      <c r="B188" s="24"/>
      <c r="C188" s="8"/>
      <c r="D188" s="8"/>
      <c r="E188" s="8"/>
      <c r="F188" s="8"/>
      <c r="G188" s="8"/>
      <c r="H188" s="9"/>
    </row>
    <row r="189">
      <c r="A189" s="24"/>
      <c r="B189" s="24"/>
      <c r="C189" s="8"/>
      <c r="D189" s="8"/>
      <c r="E189" s="8"/>
      <c r="F189" s="8"/>
      <c r="G189" s="8"/>
      <c r="H189" s="9"/>
    </row>
    <row r="190">
      <c r="A190" s="24"/>
      <c r="B190" s="24"/>
      <c r="C190" s="8"/>
      <c r="D190" s="8"/>
      <c r="E190" s="8"/>
      <c r="F190" s="8"/>
      <c r="G190" s="8"/>
      <c r="H190" s="9"/>
    </row>
    <row r="191">
      <c r="A191" s="24"/>
      <c r="B191" s="24"/>
      <c r="C191" s="8"/>
      <c r="D191" s="8"/>
      <c r="E191" s="8"/>
      <c r="F191" s="8"/>
      <c r="G191" s="8"/>
      <c r="H191" s="9"/>
    </row>
    <row r="192">
      <c r="A192" s="22"/>
      <c r="B192" s="22"/>
      <c r="C192" s="8"/>
      <c r="D192" s="8"/>
      <c r="E192" s="8"/>
      <c r="F192" s="8"/>
      <c r="G192" s="8"/>
      <c r="H192" s="9"/>
    </row>
    <row r="193">
      <c r="A193" s="22"/>
      <c r="B193" s="22"/>
      <c r="C193" s="8"/>
      <c r="D193" s="8"/>
      <c r="E193" s="8"/>
      <c r="F193" s="8"/>
      <c r="G193" s="8"/>
      <c r="H193" s="9"/>
    </row>
    <row r="194">
      <c r="A194" s="22"/>
      <c r="B194" s="22"/>
      <c r="C194" s="8"/>
      <c r="D194" s="8"/>
      <c r="E194" s="8"/>
      <c r="F194" s="8"/>
      <c r="G194" s="8"/>
      <c r="H194" s="9"/>
    </row>
    <row r="195">
      <c r="A195" s="22"/>
      <c r="B195" s="22"/>
      <c r="C195" s="8"/>
      <c r="D195" s="8"/>
      <c r="E195" s="8"/>
      <c r="F195" s="8"/>
      <c r="G195" s="8"/>
      <c r="H195" s="9"/>
    </row>
    <row r="196">
      <c r="A196" s="22"/>
      <c r="B196" s="22"/>
      <c r="C196" s="8"/>
      <c r="D196" s="8"/>
      <c r="E196" s="8"/>
      <c r="F196" s="8"/>
      <c r="G196" s="8"/>
      <c r="H196" s="9"/>
    </row>
    <row r="197">
      <c r="A197" s="22"/>
      <c r="B197" s="22"/>
      <c r="C197" s="8"/>
      <c r="D197" s="8"/>
      <c r="E197" s="8"/>
      <c r="F197" s="8"/>
      <c r="G197" s="8"/>
      <c r="H197" s="9"/>
    </row>
    <row r="198">
      <c r="A198" s="22"/>
      <c r="B198" s="22"/>
      <c r="C198" s="8"/>
      <c r="D198" s="8"/>
      <c r="E198" s="8"/>
      <c r="F198" s="8"/>
      <c r="G198" s="8"/>
      <c r="H198" s="9"/>
    </row>
    <row r="199">
      <c r="A199" s="22"/>
      <c r="B199" s="22"/>
      <c r="C199" s="8"/>
      <c r="D199" s="8"/>
      <c r="E199" s="8"/>
      <c r="F199" s="8"/>
      <c r="G199" s="8"/>
      <c r="H199" s="9"/>
    </row>
    <row r="200">
      <c r="A200" s="22"/>
      <c r="B200" s="22"/>
      <c r="C200" s="8"/>
      <c r="D200" s="8"/>
      <c r="E200" s="8"/>
      <c r="F200" s="8"/>
      <c r="G200" s="8"/>
      <c r="H200" s="9"/>
    </row>
    <row r="201">
      <c r="A201" s="22"/>
      <c r="B201" s="22"/>
      <c r="C201" s="8"/>
      <c r="D201" s="8"/>
      <c r="E201" s="8"/>
      <c r="F201" s="8"/>
      <c r="G201" s="8"/>
      <c r="H201" s="9"/>
    </row>
    <row r="202">
      <c r="A202" s="22"/>
      <c r="B202" s="22"/>
      <c r="C202" s="8"/>
      <c r="D202" s="8"/>
      <c r="E202" s="8"/>
      <c r="F202" s="8"/>
      <c r="G202" s="8"/>
      <c r="H202" s="9"/>
    </row>
    <row r="203">
      <c r="A203" s="22"/>
      <c r="B203" s="22"/>
      <c r="C203" s="8"/>
      <c r="D203" s="8"/>
      <c r="E203" s="8"/>
      <c r="F203" s="8"/>
      <c r="G203" s="8"/>
      <c r="H203" s="9"/>
    </row>
    <row r="204">
      <c r="A204" s="22"/>
      <c r="B204" s="22"/>
      <c r="C204" s="8"/>
      <c r="D204" s="8"/>
      <c r="E204" s="8"/>
      <c r="F204" s="8"/>
      <c r="G204" s="8"/>
      <c r="H204" s="9"/>
    </row>
    <row r="205">
      <c r="A205" s="22"/>
      <c r="B205" s="22"/>
      <c r="C205" s="8"/>
      <c r="D205" s="8"/>
      <c r="E205" s="8"/>
      <c r="F205" s="8"/>
      <c r="G205" s="8"/>
      <c r="H205" s="9"/>
    </row>
    <row r="206">
      <c r="A206" s="22"/>
      <c r="B206" s="22"/>
      <c r="C206" s="8"/>
      <c r="D206" s="8"/>
      <c r="E206" s="8"/>
      <c r="F206" s="8"/>
      <c r="G206" s="8"/>
      <c r="H206" s="9"/>
    </row>
    <row r="207">
      <c r="A207" s="22"/>
      <c r="B207" s="22"/>
      <c r="C207" s="8"/>
      <c r="D207" s="8"/>
      <c r="E207" s="8"/>
      <c r="F207" s="8"/>
      <c r="G207" s="8"/>
      <c r="H207" s="9"/>
    </row>
    <row r="208">
      <c r="A208" s="22"/>
      <c r="B208" s="22"/>
      <c r="C208" s="8"/>
      <c r="D208" s="8"/>
      <c r="E208" s="8"/>
      <c r="F208" s="8"/>
      <c r="G208" s="8"/>
      <c r="H208" s="9"/>
    </row>
    <row r="209">
      <c r="A209" s="22"/>
      <c r="B209" s="22"/>
      <c r="C209" s="8"/>
      <c r="D209" s="8"/>
      <c r="E209" s="8"/>
      <c r="F209" s="8"/>
      <c r="G209" s="8"/>
      <c r="H209" s="9"/>
    </row>
    <row r="210">
      <c r="A210" s="22"/>
      <c r="B210" s="22"/>
      <c r="C210" s="8"/>
      <c r="D210" s="8"/>
      <c r="E210" s="8"/>
      <c r="F210" s="8"/>
      <c r="G210" s="8"/>
      <c r="H210" s="9"/>
    </row>
    <row r="211">
      <c r="A211" s="22"/>
      <c r="B211" s="22"/>
      <c r="C211" s="8"/>
      <c r="D211" s="8"/>
      <c r="E211" s="8"/>
      <c r="F211" s="8"/>
      <c r="G211" s="8"/>
      <c r="H211" s="9"/>
    </row>
    <row r="212">
      <c r="A212" s="22"/>
      <c r="B212" s="22"/>
      <c r="C212" s="8"/>
      <c r="D212" s="8"/>
      <c r="E212" s="8"/>
      <c r="F212" s="8"/>
      <c r="G212" s="8"/>
      <c r="H212" s="9"/>
    </row>
    <row r="213">
      <c r="A213" s="22"/>
      <c r="B213" s="22"/>
      <c r="C213" s="8"/>
      <c r="D213" s="8"/>
      <c r="E213" s="8"/>
      <c r="F213" s="8"/>
      <c r="G213" s="8"/>
      <c r="H213" s="9"/>
    </row>
    <row r="214">
      <c r="A214" s="22"/>
      <c r="B214" s="22"/>
      <c r="C214" s="8"/>
      <c r="D214" s="8"/>
      <c r="E214" s="8"/>
      <c r="F214" s="8"/>
      <c r="G214" s="8"/>
      <c r="H214" s="9"/>
    </row>
    <row r="215">
      <c r="A215" s="22"/>
      <c r="B215" s="22"/>
      <c r="C215" s="8"/>
      <c r="D215" s="8"/>
      <c r="E215" s="8"/>
      <c r="F215" s="8"/>
      <c r="G215" s="8"/>
      <c r="H215" s="9"/>
    </row>
    <row r="216">
      <c r="A216" s="22"/>
      <c r="B216" s="22"/>
      <c r="C216" s="8"/>
      <c r="D216" s="8"/>
      <c r="E216" s="8"/>
      <c r="F216" s="8"/>
      <c r="G216" s="8"/>
      <c r="H216" s="9"/>
    </row>
    <row r="217">
      <c r="A217" s="22"/>
      <c r="B217" s="22"/>
      <c r="C217" s="8"/>
      <c r="D217" s="8"/>
      <c r="E217" s="8"/>
      <c r="F217" s="8"/>
      <c r="G217" s="8"/>
      <c r="H217" s="9"/>
    </row>
    <row r="218">
      <c r="A218" s="22"/>
      <c r="B218" s="22"/>
      <c r="C218" s="8"/>
      <c r="D218" s="8"/>
      <c r="E218" s="8"/>
      <c r="F218" s="8"/>
      <c r="G218" s="8"/>
      <c r="H218" s="9"/>
    </row>
    <row r="219">
      <c r="A219" s="22"/>
      <c r="B219" s="22"/>
      <c r="C219" s="8"/>
      <c r="D219" s="8"/>
      <c r="E219" s="8"/>
      <c r="F219" s="8"/>
      <c r="G219" s="8"/>
      <c r="H219" s="9"/>
    </row>
    <row r="220">
      <c r="A220" s="22"/>
      <c r="B220" s="22"/>
      <c r="C220" s="8"/>
      <c r="D220" s="8"/>
      <c r="E220" s="8"/>
      <c r="F220" s="8"/>
      <c r="G220" s="8"/>
      <c r="H220" s="9"/>
    </row>
    <row r="221">
      <c r="A221" s="22"/>
      <c r="B221" s="22"/>
      <c r="C221" s="8"/>
      <c r="D221" s="8"/>
      <c r="E221" s="8"/>
      <c r="F221" s="8"/>
      <c r="G221" s="8"/>
      <c r="H221" s="9"/>
    </row>
    <row r="222">
      <c r="A222" s="22"/>
      <c r="B222" s="22"/>
      <c r="C222" s="8"/>
      <c r="D222" s="8"/>
      <c r="E222" s="8"/>
      <c r="F222" s="8"/>
      <c r="G222" s="8"/>
      <c r="H222" s="9"/>
    </row>
    <row r="223">
      <c r="A223" s="22"/>
      <c r="B223" s="22"/>
      <c r="C223" s="8"/>
      <c r="D223" s="8"/>
      <c r="E223" s="8"/>
      <c r="F223" s="8"/>
      <c r="G223" s="8"/>
      <c r="H223" s="9"/>
    </row>
    <row r="224">
      <c r="A224" s="22"/>
      <c r="B224" s="22"/>
      <c r="C224" s="8"/>
      <c r="D224" s="8"/>
      <c r="E224" s="8"/>
      <c r="F224" s="8"/>
      <c r="G224" s="8"/>
      <c r="H224" s="9"/>
    </row>
    <row r="225">
      <c r="A225" s="22"/>
      <c r="B225" s="22"/>
      <c r="C225" s="8"/>
      <c r="D225" s="8"/>
      <c r="E225" s="8"/>
      <c r="F225" s="8"/>
      <c r="G225" s="8"/>
      <c r="H225" s="9"/>
    </row>
    <row r="226">
      <c r="A226" s="22"/>
      <c r="B226" s="22"/>
      <c r="C226" s="8"/>
      <c r="D226" s="8"/>
      <c r="E226" s="8"/>
      <c r="F226" s="8"/>
      <c r="G226" s="8"/>
      <c r="H226" s="9"/>
    </row>
    <row r="227">
      <c r="A227" s="22"/>
      <c r="B227" s="22"/>
      <c r="C227" s="8"/>
      <c r="D227" s="8"/>
      <c r="E227" s="8"/>
      <c r="F227" s="8"/>
      <c r="G227" s="8"/>
      <c r="H227" s="9"/>
    </row>
    <row r="228">
      <c r="A228" s="22"/>
      <c r="B228" s="22"/>
      <c r="C228" s="8"/>
      <c r="D228" s="8"/>
      <c r="E228" s="8"/>
      <c r="F228" s="8"/>
      <c r="G228" s="8"/>
      <c r="H228" s="9"/>
    </row>
    <row r="229">
      <c r="A229" s="22"/>
      <c r="B229" s="22"/>
      <c r="C229" s="8"/>
      <c r="D229" s="8"/>
      <c r="E229" s="8"/>
      <c r="F229" s="8"/>
      <c r="G229" s="8"/>
      <c r="H229" s="9"/>
    </row>
    <row r="230">
      <c r="A230" s="22"/>
      <c r="B230" s="22"/>
      <c r="C230" s="8"/>
      <c r="D230" s="8"/>
      <c r="E230" s="8"/>
      <c r="F230" s="8"/>
      <c r="G230" s="8"/>
      <c r="H230" s="9"/>
    </row>
    <row r="231">
      <c r="A231" s="22"/>
      <c r="B231" s="22"/>
      <c r="C231" s="8"/>
      <c r="D231" s="8"/>
      <c r="E231" s="8"/>
      <c r="F231" s="8"/>
      <c r="G231" s="8"/>
      <c r="H231" s="9"/>
    </row>
    <row r="232">
      <c r="A232" s="22"/>
      <c r="B232" s="22"/>
      <c r="C232" s="8"/>
      <c r="D232" s="8"/>
      <c r="E232" s="8"/>
      <c r="F232" s="8"/>
      <c r="G232" s="8"/>
      <c r="H232" s="9"/>
    </row>
    <row r="233">
      <c r="A233" s="22"/>
      <c r="B233" s="22"/>
      <c r="C233" s="8"/>
      <c r="D233" s="8"/>
      <c r="E233" s="8"/>
      <c r="F233" s="8"/>
      <c r="G233" s="8"/>
      <c r="H233" s="9"/>
    </row>
    <row r="234">
      <c r="A234" s="22"/>
      <c r="B234" s="22"/>
      <c r="C234" s="8"/>
      <c r="D234" s="8"/>
      <c r="E234" s="8"/>
      <c r="F234" s="8"/>
      <c r="G234" s="8"/>
      <c r="H234" s="9"/>
    </row>
    <row r="235">
      <c r="A235" s="22"/>
      <c r="B235" s="22"/>
      <c r="C235" s="8"/>
      <c r="D235" s="8"/>
      <c r="E235" s="8"/>
      <c r="F235" s="8"/>
      <c r="G235" s="8"/>
      <c r="H235" s="9"/>
    </row>
    <row r="236">
      <c r="A236" s="22"/>
      <c r="B236" s="22"/>
      <c r="C236" s="8"/>
      <c r="D236" s="8"/>
      <c r="E236" s="8"/>
      <c r="F236" s="8"/>
      <c r="G236" s="8"/>
      <c r="H236" s="9"/>
    </row>
    <row r="237">
      <c r="A237" s="22"/>
      <c r="B237" s="22"/>
      <c r="C237" s="8"/>
      <c r="D237" s="8"/>
      <c r="E237" s="8"/>
      <c r="F237" s="8"/>
      <c r="G237" s="8"/>
      <c r="H237" s="9"/>
    </row>
    <row r="238">
      <c r="A238" s="22"/>
      <c r="B238" s="22"/>
      <c r="C238" s="8"/>
      <c r="D238" s="8"/>
      <c r="E238" s="8"/>
      <c r="F238" s="8"/>
      <c r="G238" s="8"/>
      <c r="H238" s="9"/>
    </row>
    <row r="239">
      <c r="A239" s="22"/>
      <c r="B239" s="22"/>
      <c r="C239" s="8"/>
      <c r="D239" s="8"/>
      <c r="E239" s="8"/>
      <c r="F239" s="8"/>
      <c r="G239" s="8"/>
      <c r="H239" s="9"/>
    </row>
    <row r="240">
      <c r="A240" s="22"/>
      <c r="B240" s="22"/>
      <c r="C240" s="8"/>
      <c r="D240" s="8"/>
      <c r="E240" s="8"/>
      <c r="F240" s="8"/>
      <c r="G240" s="8"/>
      <c r="H240" s="9"/>
    </row>
    <row r="241">
      <c r="A241" s="22"/>
      <c r="B241" s="22"/>
      <c r="C241" s="8"/>
      <c r="D241" s="8"/>
      <c r="E241" s="8"/>
      <c r="F241" s="8"/>
      <c r="G241" s="8"/>
      <c r="H241" s="9"/>
    </row>
    <row r="242">
      <c r="A242" s="22"/>
      <c r="B242" s="22"/>
      <c r="C242" s="8"/>
      <c r="D242" s="8"/>
      <c r="E242" s="8"/>
      <c r="F242" s="8"/>
      <c r="G242" s="8"/>
      <c r="H242" s="9"/>
    </row>
    <row r="243">
      <c r="A243" s="22"/>
      <c r="B243" s="22"/>
      <c r="C243" s="8"/>
      <c r="D243" s="8"/>
      <c r="E243" s="8"/>
      <c r="F243" s="8"/>
      <c r="G243" s="8"/>
      <c r="H243" s="9"/>
    </row>
    <row r="244">
      <c r="A244" s="22"/>
      <c r="B244" s="22"/>
      <c r="C244" s="8"/>
      <c r="D244" s="8"/>
      <c r="E244" s="8"/>
      <c r="F244" s="8"/>
      <c r="G244" s="8"/>
      <c r="H244" s="9"/>
    </row>
    <row r="245">
      <c r="A245" s="22"/>
      <c r="B245" s="22"/>
      <c r="C245" s="8"/>
      <c r="D245" s="8"/>
      <c r="E245" s="8"/>
      <c r="F245" s="8"/>
      <c r="G245" s="8"/>
      <c r="H245" s="9"/>
    </row>
    <row r="246">
      <c r="A246" s="22"/>
      <c r="B246" s="22"/>
      <c r="C246" s="8"/>
      <c r="D246" s="8"/>
      <c r="E246" s="8"/>
      <c r="F246" s="8"/>
      <c r="G246" s="8"/>
      <c r="H246" s="9"/>
    </row>
    <row r="247">
      <c r="A247" s="22"/>
      <c r="B247" s="22"/>
      <c r="C247" s="8"/>
      <c r="D247" s="8"/>
      <c r="E247" s="8"/>
      <c r="F247" s="8"/>
      <c r="G247" s="8"/>
      <c r="H247" s="9"/>
    </row>
    <row r="248">
      <c r="A248" s="22"/>
      <c r="B248" s="22"/>
      <c r="C248" s="8"/>
      <c r="D248" s="8"/>
      <c r="E248" s="8"/>
      <c r="F248" s="8"/>
      <c r="G248" s="8"/>
      <c r="H248" s="9"/>
    </row>
    <row r="249">
      <c r="A249" s="22"/>
      <c r="B249" s="22"/>
      <c r="C249" s="8"/>
      <c r="D249" s="8"/>
      <c r="E249" s="8"/>
      <c r="F249" s="8"/>
      <c r="G249" s="8"/>
      <c r="H249" s="9"/>
    </row>
    <row r="250">
      <c r="A250" s="22"/>
      <c r="B250" s="22"/>
      <c r="C250" s="8"/>
      <c r="D250" s="8"/>
      <c r="E250" s="8"/>
      <c r="F250" s="8"/>
      <c r="G250" s="8"/>
      <c r="H250" s="9"/>
    </row>
    <row r="251">
      <c r="A251" s="22"/>
      <c r="B251" s="22"/>
      <c r="C251" s="8"/>
      <c r="D251" s="8"/>
      <c r="E251" s="8"/>
      <c r="F251" s="8"/>
      <c r="G251" s="8"/>
      <c r="H251" s="9"/>
    </row>
    <row r="252">
      <c r="A252" s="22"/>
      <c r="B252" s="22"/>
      <c r="C252" s="8"/>
      <c r="D252" s="8"/>
      <c r="E252" s="8"/>
      <c r="F252" s="8"/>
      <c r="G252" s="8"/>
      <c r="H252" s="9"/>
    </row>
  </sheetData>
  <hyperlinks>
    <hyperlink r:id="rId1" ref="D1"/>
    <hyperlink r:id="rId2" ref="G1"/>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0</v>
      </c>
      <c r="B1" s="29" t="s">
        <v>0</v>
      </c>
      <c r="C1" s="30" t="s">
        <v>10</v>
      </c>
      <c r="D1" s="31" t="s">
        <v>11</v>
      </c>
      <c r="E1" s="32" t="s">
        <v>12</v>
      </c>
      <c r="F1" s="33" t="s">
        <v>10</v>
      </c>
      <c r="G1" s="34" t="s">
        <v>11</v>
      </c>
      <c r="H1" s="40" t="s">
        <v>14</v>
      </c>
      <c r="I1" s="41" t="s">
        <v>15</v>
      </c>
    </row>
    <row r="2">
      <c r="A2" s="4">
        <v>46055.0</v>
      </c>
      <c r="B2" s="14">
        <v>46055.0</v>
      </c>
      <c r="C2" s="5">
        <v>421.81</v>
      </c>
      <c r="D2" s="15">
        <v>103.1</v>
      </c>
      <c r="E2" s="36"/>
      <c r="F2" s="37">
        <f t="shared" ref="F2:G2" si="1">(C2-C3)/C3</f>
        <v>-0.0199809484</v>
      </c>
      <c r="G2" s="37">
        <f t="shared" si="1"/>
        <v>0.001943634597</v>
      </c>
      <c r="H2" s="42">
        <f t="shared" ref="H2:H53" si="3">D2/D3-1</f>
        <v>0.001943634597</v>
      </c>
      <c r="I2" s="43">
        <f t="shared" ref="I2:I53" si="4">C2/C3-1</f>
        <v>-0.0199809484</v>
      </c>
    </row>
    <row r="3">
      <c r="A3" s="7">
        <v>46048.0</v>
      </c>
      <c r="B3" s="19">
        <v>46048.0</v>
      </c>
      <c r="C3" s="8">
        <v>430.41</v>
      </c>
      <c r="D3" s="20">
        <v>102.9</v>
      </c>
      <c r="E3" s="36"/>
      <c r="F3" s="37">
        <f t="shared" ref="F3:G3" si="2">(C3-C4)/C4</f>
        <v>-0.0415311985</v>
      </c>
      <c r="G3" s="37">
        <f t="shared" si="2"/>
        <v>-0.02464454976</v>
      </c>
      <c r="H3" s="42">
        <f t="shared" si="3"/>
        <v>-0.02464454976</v>
      </c>
      <c r="I3" s="43">
        <f t="shared" si="4"/>
        <v>-0.0415311985</v>
      </c>
    </row>
    <row r="4">
      <c r="A4" s="4">
        <v>46041.0</v>
      </c>
      <c r="B4" s="14">
        <v>46041.0</v>
      </c>
      <c r="C4" s="5">
        <v>449.06</v>
      </c>
      <c r="D4" s="15">
        <v>105.5</v>
      </c>
      <c r="E4" s="36"/>
      <c r="F4" s="37">
        <f t="shared" ref="F4:G4" si="5">(C4-C5)/C5</f>
        <v>0.02642285714</v>
      </c>
      <c r="G4" s="37">
        <f t="shared" si="5"/>
        <v>0.04352126607</v>
      </c>
      <c r="H4" s="42">
        <f t="shared" si="3"/>
        <v>0.04352126607</v>
      </c>
      <c r="I4" s="43">
        <f t="shared" si="4"/>
        <v>0.02642285714</v>
      </c>
    </row>
    <row r="5">
      <c r="A5" s="7">
        <v>46034.0</v>
      </c>
      <c r="B5" s="19">
        <v>46034.0</v>
      </c>
      <c r="C5" s="8">
        <v>437.5</v>
      </c>
      <c r="D5" s="20">
        <v>101.1</v>
      </c>
      <c r="E5" s="36"/>
      <c r="F5" s="37">
        <f t="shared" ref="F5:G5" si="6">(C5-C6)/C6</f>
        <v>-0.01687602526</v>
      </c>
      <c r="G5" s="37">
        <f t="shared" si="6"/>
        <v>-0.03622497617</v>
      </c>
      <c r="H5" s="42">
        <f t="shared" si="3"/>
        <v>-0.03622497617</v>
      </c>
      <c r="I5" s="43">
        <f t="shared" si="4"/>
        <v>-0.01687602526</v>
      </c>
    </row>
    <row r="6">
      <c r="A6" s="4">
        <v>46027.0</v>
      </c>
      <c r="B6" s="14">
        <v>46027.0</v>
      </c>
      <c r="C6" s="5">
        <v>445.01</v>
      </c>
      <c r="D6" s="15">
        <v>104.9</v>
      </c>
      <c r="E6" s="36"/>
      <c r="F6" s="37">
        <f t="shared" ref="F6:G6" si="7">(C6-C7)/C7</f>
        <v>0.015842217</v>
      </c>
      <c r="G6" s="37">
        <f t="shared" si="7"/>
        <v>-0.02418604651</v>
      </c>
      <c r="H6" s="42">
        <f t="shared" si="3"/>
        <v>-0.02418604651</v>
      </c>
      <c r="I6" s="43">
        <f t="shared" si="4"/>
        <v>0.015842217</v>
      </c>
    </row>
    <row r="7">
      <c r="A7" s="7">
        <v>46020.0</v>
      </c>
      <c r="B7" s="19">
        <v>46020.0</v>
      </c>
      <c r="C7" s="8">
        <v>438.07</v>
      </c>
      <c r="D7" s="20">
        <v>107.5</v>
      </c>
      <c r="E7" s="36"/>
      <c r="F7" s="37">
        <f t="shared" ref="F7:G7" si="8">(C7-C8)/C8</f>
        <v>-0.07811612197</v>
      </c>
      <c r="G7" s="37">
        <f t="shared" si="8"/>
        <v>0.02969348659</v>
      </c>
      <c r="H7" s="42">
        <f t="shared" si="3"/>
        <v>0.02969348659</v>
      </c>
      <c r="I7" s="43">
        <f t="shared" si="4"/>
        <v>-0.07811612197</v>
      </c>
    </row>
    <row r="8">
      <c r="A8" s="4">
        <v>46013.0</v>
      </c>
      <c r="B8" s="14">
        <v>46013.0</v>
      </c>
      <c r="C8" s="5">
        <v>475.19</v>
      </c>
      <c r="D8" s="15">
        <v>104.4</v>
      </c>
      <c r="E8" s="36"/>
      <c r="F8" s="37">
        <f t="shared" ref="F8:G8" si="9">(C8-C9)/C9</f>
        <v>-0.01248960931</v>
      </c>
      <c r="G8" s="37">
        <f t="shared" si="9"/>
        <v>-0.005714285714</v>
      </c>
      <c r="H8" s="42">
        <f t="shared" si="3"/>
        <v>-0.005714285714</v>
      </c>
      <c r="I8" s="43">
        <f t="shared" si="4"/>
        <v>-0.01248960931</v>
      </c>
    </row>
    <row r="9">
      <c r="A9" s="7">
        <v>46006.0</v>
      </c>
      <c r="B9" s="19">
        <v>46006.0</v>
      </c>
      <c r="C9" s="8">
        <v>481.2</v>
      </c>
      <c r="D9" s="20">
        <v>105.0</v>
      </c>
      <c r="E9" s="36"/>
      <c r="F9" s="37">
        <f t="shared" ref="F9:G9" si="10">(C9-C10)/C10</f>
        <v>0.04845738191</v>
      </c>
      <c r="G9" s="37">
        <f t="shared" si="10"/>
        <v>-0.04021937843</v>
      </c>
      <c r="H9" s="42">
        <f t="shared" si="3"/>
        <v>-0.04021937843</v>
      </c>
      <c r="I9" s="43">
        <f t="shared" si="4"/>
        <v>0.04845738191</v>
      </c>
    </row>
    <row r="10">
      <c r="A10" s="4">
        <v>45999.0</v>
      </c>
      <c r="B10" s="14">
        <v>45999.0</v>
      </c>
      <c r="C10" s="5">
        <v>458.96</v>
      </c>
      <c r="D10" s="15">
        <v>109.4</v>
      </c>
      <c r="E10" s="36"/>
      <c r="F10" s="37">
        <f t="shared" ref="F10:G10" si="11">(C10-C11)/C11</f>
        <v>0.008703296703</v>
      </c>
      <c r="G10" s="37">
        <f t="shared" si="11"/>
        <v>0.01015697138</v>
      </c>
      <c r="H10" s="42">
        <f t="shared" si="3"/>
        <v>0.01015697138</v>
      </c>
      <c r="I10" s="43">
        <f t="shared" si="4"/>
        <v>0.008703296703</v>
      </c>
    </row>
    <row r="11">
      <c r="A11" s="7">
        <v>45992.0</v>
      </c>
      <c r="B11" s="19">
        <v>45992.0</v>
      </c>
      <c r="C11" s="8">
        <v>455.0</v>
      </c>
      <c r="D11" s="20">
        <v>108.3</v>
      </c>
      <c r="E11" s="36"/>
      <c r="F11" s="37">
        <f t="shared" ref="F11:G11" si="12">(C11-C12)/C12</f>
        <v>0.05772136597</v>
      </c>
      <c r="G11" s="37">
        <f t="shared" si="12"/>
        <v>0.08844221106</v>
      </c>
      <c r="H11" s="42">
        <f t="shared" si="3"/>
        <v>0.08844221106</v>
      </c>
      <c r="I11" s="43">
        <f t="shared" si="4"/>
        <v>0.05772136597</v>
      </c>
    </row>
    <row r="12">
      <c r="A12" s="4">
        <v>45985.0</v>
      </c>
      <c r="B12" s="14">
        <v>45985.0</v>
      </c>
      <c r="C12" s="5">
        <v>430.17</v>
      </c>
      <c r="D12" s="15">
        <v>99.5</v>
      </c>
      <c r="E12" s="36"/>
      <c r="F12" s="37">
        <f t="shared" ref="F12:G12" si="13">(C12-C13)/C13</f>
        <v>0.09992584827</v>
      </c>
      <c r="G12" s="37">
        <f t="shared" si="13"/>
        <v>0.03484139366</v>
      </c>
      <c r="H12" s="42">
        <f t="shared" si="3"/>
        <v>0.03484139366</v>
      </c>
      <c r="I12" s="43">
        <f t="shared" si="4"/>
        <v>0.09992584827</v>
      </c>
    </row>
    <row r="13">
      <c r="A13" s="7">
        <v>45978.0</v>
      </c>
      <c r="B13" s="19">
        <v>45978.0</v>
      </c>
      <c r="C13" s="8">
        <v>391.09</v>
      </c>
      <c r="D13" s="20">
        <v>96.15</v>
      </c>
      <c r="E13" s="36"/>
      <c r="F13" s="37">
        <f t="shared" ref="F13:G13" si="14">(C13-C14)/C14</f>
        <v>-0.03279337208</v>
      </c>
      <c r="G13" s="37">
        <f t="shared" si="14"/>
        <v>-0.03512293026</v>
      </c>
      <c r="H13" s="42">
        <f t="shared" si="3"/>
        <v>-0.03512293026</v>
      </c>
      <c r="I13" s="43">
        <f t="shared" si="4"/>
        <v>-0.03279337208</v>
      </c>
    </row>
    <row r="14">
      <c r="A14" s="4">
        <v>45971.0</v>
      </c>
      <c r="B14" s="14">
        <v>45971.0</v>
      </c>
      <c r="C14" s="5">
        <v>404.35</v>
      </c>
      <c r="D14" s="15">
        <v>99.65</v>
      </c>
      <c r="E14" s="36"/>
      <c r="F14" s="37">
        <f t="shared" ref="F14:G14" si="15">(C14-C15)/C15</f>
        <v>-0.05860029801</v>
      </c>
      <c r="G14" s="37">
        <f t="shared" si="15"/>
        <v>0.05060622035</v>
      </c>
      <c r="H14" s="42">
        <f t="shared" si="3"/>
        <v>0.05060622035</v>
      </c>
      <c r="I14" s="43">
        <f t="shared" si="4"/>
        <v>-0.05860029801</v>
      </c>
    </row>
    <row r="15">
      <c r="A15" s="7">
        <v>45964.0</v>
      </c>
      <c r="B15" s="19">
        <v>45964.0</v>
      </c>
      <c r="C15" s="8">
        <v>429.52</v>
      </c>
      <c r="D15" s="20">
        <v>94.85</v>
      </c>
      <c r="E15" s="36"/>
      <c r="F15" s="37">
        <f t="shared" ref="F15:G15" si="16">(C15-C16)/C16</f>
        <v>-0.05922551253</v>
      </c>
      <c r="G15" s="37">
        <f t="shared" si="16"/>
        <v>0.03831417625</v>
      </c>
      <c r="H15" s="42">
        <f t="shared" si="3"/>
        <v>0.03831417625</v>
      </c>
      <c r="I15" s="43">
        <f t="shared" si="4"/>
        <v>-0.05922551253</v>
      </c>
    </row>
    <row r="16">
      <c r="A16" s="4">
        <v>45957.0</v>
      </c>
      <c r="B16" s="14">
        <v>45957.0</v>
      </c>
      <c r="C16" s="5">
        <v>456.56</v>
      </c>
      <c r="D16" s="15">
        <v>91.35</v>
      </c>
      <c r="E16" s="36"/>
      <c r="F16" s="37">
        <f t="shared" ref="F16:G16" si="17">(C16-C17)/C17</f>
        <v>0.05266070276</v>
      </c>
      <c r="G16" s="37">
        <f t="shared" si="17"/>
        <v>-0.001093493712</v>
      </c>
      <c r="H16" s="42">
        <f t="shared" si="3"/>
        <v>-0.001093493712</v>
      </c>
      <c r="I16" s="43">
        <f t="shared" si="4"/>
        <v>0.05266070276</v>
      </c>
    </row>
    <row r="17">
      <c r="A17" s="7">
        <v>45950.0</v>
      </c>
      <c r="B17" s="19">
        <v>45950.0</v>
      </c>
      <c r="C17" s="8">
        <v>433.72</v>
      </c>
      <c r="D17" s="20">
        <v>91.45</v>
      </c>
      <c r="E17" s="36"/>
      <c r="F17" s="37">
        <f t="shared" ref="F17:G17" si="18">(C17-C18)/C18</f>
        <v>-0.01272449978</v>
      </c>
      <c r="G17" s="37">
        <f t="shared" si="18"/>
        <v>-0.01135135135</v>
      </c>
      <c r="H17" s="42">
        <f t="shared" si="3"/>
        <v>-0.01135135135</v>
      </c>
      <c r="I17" s="43">
        <f t="shared" si="4"/>
        <v>-0.01272449978</v>
      </c>
    </row>
    <row r="18">
      <c r="A18" s="4">
        <v>45943.0</v>
      </c>
      <c r="B18" s="14">
        <v>45943.0</v>
      </c>
      <c r="C18" s="5">
        <v>439.31</v>
      </c>
      <c r="D18" s="15">
        <v>92.5</v>
      </c>
      <c r="E18" s="36"/>
      <c r="F18" s="37">
        <f t="shared" ref="F18:G18" si="19">(C18-C19)/C19</f>
        <v>0.06244407362</v>
      </c>
      <c r="G18" s="37">
        <f t="shared" si="19"/>
        <v>0.01816180517</v>
      </c>
      <c r="H18" s="42">
        <f t="shared" si="3"/>
        <v>0.01816180517</v>
      </c>
      <c r="I18" s="43">
        <f t="shared" si="4"/>
        <v>0.06244407362</v>
      </c>
    </row>
    <row r="19">
      <c r="A19" s="7">
        <v>45936.0</v>
      </c>
      <c r="B19" s="19">
        <v>45936.0</v>
      </c>
      <c r="C19" s="8">
        <v>413.49</v>
      </c>
      <c r="D19" s="20">
        <v>90.85</v>
      </c>
      <c r="E19" s="36"/>
      <c r="F19" s="37">
        <f t="shared" ref="F19:G19" si="20">(C19-C20)/C20</f>
        <v>-0.0380150292</v>
      </c>
      <c r="G19" s="37">
        <f t="shared" si="20"/>
        <v>-0.0355626327</v>
      </c>
      <c r="H19" s="42">
        <f t="shared" si="3"/>
        <v>-0.0355626327</v>
      </c>
      <c r="I19" s="43">
        <f t="shared" si="4"/>
        <v>-0.0380150292</v>
      </c>
    </row>
    <row r="20">
      <c r="A20" s="4">
        <v>45929.0</v>
      </c>
      <c r="B20" s="14">
        <v>45929.0</v>
      </c>
      <c r="C20" s="5">
        <v>429.83</v>
      </c>
      <c r="D20" s="15">
        <v>94.2</v>
      </c>
      <c r="E20" s="36"/>
      <c r="F20" s="37">
        <f t="shared" ref="F20:G20" si="21">(C20-C21)/C21</f>
        <v>-0.02400090827</v>
      </c>
      <c r="G20" s="37">
        <f t="shared" si="21"/>
        <v>0.01727861771</v>
      </c>
      <c r="H20" s="42">
        <f t="shared" si="3"/>
        <v>0.01727861771</v>
      </c>
      <c r="I20" s="43">
        <f t="shared" si="4"/>
        <v>-0.02400090827</v>
      </c>
    </row>
    <row r="21">
      <c r="A21" s="7">
        <v>45922.0</v>
      </c>
      <c r="B21" s="19">
        <v>45922.0</v>
      </c>
      <c r="C21" s="8">
        <v>440.4</v>
      </c>
      <c r="D21" s="20">
        <v>92.6</v>
      </c>
      <c r="E21" s="36"/>
      <c r="F21" s="37">
        <f t="shared" ref="F21:G21" si="22">(C21-C22)/C22</f>
        <v>0.03363297111</v>
      </c>
      <c r="G21" s="37">
        <f t="shared" si="22"/>
        <v>-0.05798575788</v>
      </c>
      <c r="H21" s="42">
        <f t="shared" si="3"/>
        <v>-0.05798575788</v>
      </c>
      <c r="I21" s="43">
        <f t="shared" si="4"/>
        <v>0.03363297111</v>
      </c>
    </row>
    <row r="22">
      <c r="A22" s="4">
        <v>45915.0</v>
      </c>
      <c r="B22" s="14">
        <v>45915.0</v>
      </c>
      <c r="C22" s="5">
        <v>426.07</v>
      </c>
      <c r="D22" s="15">
        <v>98.3</v>
      </c>
      <c r="E22" s="36"/>
      <c r="F22" s="37">
        <f t="shared" ref="F22:G22" si="23">(C22-C23)/C23</f>
        <v>0.07609738849</v>
      </c>
      <c r="G22" s="37">
        <f t="shared" si="23"/>
        <v>-0.04748062016</v>
      </c>
      <c r="H22" s="42">
        <f t="shared" si="3"/>
        <v>-0.04748062016</v>
      </c>
      <c r="I22" s="43">
        <f t="shared" si="4"/>
        <v>0.07609738849</v>
      </c>
    </row>
    <row r="23">
      <c r="A23" s="7">
        <v>45908.0</v>
      </c>
      <c r="B23" s="19">
        <v>45908.0</v>
      </c>
      <c r="C23" s="8">
        <v>395.94</v>
      </c>
      <c r="D23" s="20">
        <v>103.2</v>
      </c>
      <c r="E23" s="36"/>
      <c r="F23" s="37">
        <f t="shared" ref="F23:G23" si="24">(C23-C24)/C24</f>
        <v>0.1285486262</v>
      </c>
      <c r="G23" s="37">
        <f t="shared" si="24"/>
        <v>0.01775147929</v>
      </c>
      <c r="H23" s="42">
        <f t="shared" si="3"/>
        <v>0.01775147929</v>
      </c>
      <c r="I23" s="43">
        <f t="shared" si="4"/>
        <v>0.1285486262</v>
      </c>
    </row>
    <row r="24">
      <c r="A24" s="4">
        <v>45901.0</v>
      </c>
      <c r="B24" s="14">
        <v>45901.0</v>
      </c>
      <c r="C24" s="5">
        <v>350.84</v>
      </c>
      <c r="D24" s="15">
        <v>101.4</v>
      </c>
      <c r="E24" s="36"/>
      <c r="F24" s="37">
        <f t="shared" ref="F24:G24" si="25">(C24-C25)/C25</f>
        <v>0.05082816665</v>
      </c>
      <c r="G24" s="37">
        <f t="shared" si="25"/>
        <v>-0.00782778865</v>
      </c>
      <c r="H24" s="42">
        <f t="shared" si="3"/>
        <v>-0.00782778865</v>
      </c>
      <c r="I24" s="43">
        <f t="shared" si="4"/>
        <v>0.05082816665</v>
      </c>
    </row>
    <row r="25">
      <c r="A25" s="7">
        <v>45894.0</v>
      </c>
      <c r="B25" s="19">
        <v>45894.0</v>
      </c>
      <c r="C25" s="8">
        <v>333.87</v>
      </c>
      <c r="D25" s="20">
        <v>102.2</v>
      </c>
      <c r="E25" s="36"/>
      <c r="F25" s="37">
        <f t="shared" ref="F25:G25" si="26">(C25-C26)/C26</f>
        <v>-0.0180582924</v>
      </c>
      <c r="G25" s="37">
        <f t="shared" si="26"/>
        <v>-0.02666666667</v>
      </c>
      <c r="H25" s="42">
        <f t="shared" si="3"/>
        <v>-0.02666666667</v>
      </c>
      <c r="I25" s="43">
        <f t="shared" si="4"/>
        <v>-0.0180582924</v>
      </c>
    </row>
    <row r="26">
      <c r="A26" s="4">
        <v>45887.0</v>
      </c>
      <c r="B26" s="14">
        <v>45887.0</v>
      </c>
      <c r="C26" s="5">
        <v>340.01</v>
      </c>
      <c r="D26" s="15">
        <v>105.0</v>
      </c>
      <c r="E26" s="36"/>
      <c r="F26" s="37">
        <f t="shared" ref="F26:G26" si="27">(C26-C27)/C27</f>
        <v>0.02858785092</v>
      </c>
      <c r="G26" s="37">
        <f t="shared" si="27"/>
        <v>0.02941176471</v>
      </c>
      <c r="H26" s="42">
        <f t="shared" si="3"/>
        <v>0.02941176471</v>
      </c>
      <c r="I26" s="43">
        <f t="shared" si="4"/>
        <v>0.02858785092</v>
      </c>
    </row>
    <row r="27">
      <c r="A27" s="7">
        <v>45880.0</v>
      </c>
      <c r="B27" s="19">
        <v>45880.0</v>
      </c>
      <c r="C27" s="8">
        <v>330.56</v>
      </c>
      <c r="D27" s="20">
        <v>102.0</v>
      </c>
      <c r="E27" s="36"/>
      <c r="F27" s="37">
        <f t="shared" ref="F27:G27" si="28">(C27-C28)/C28</f>
        <v>0.002760503564</v>
      </c>
      <c r="G27" s="37">
        <f t="shared" si="28"/>
        <v>0.0440122825</v>
      </c>
      <c r="H27" s="42">
        <f t="shared" si="3"/>
        <v>0.0440122825</v>
      </c>
      <c r="I27" s="43">
        <f t="shared" si="4"/>
        <v>0.002760503564</v>
      </c>
    </row>
    <row r="28">
      <c r="A28" s="4">
        <v>45873.0</v>
      </c>
      <c r="B28" s="14">
        <v>45873.0</v>
      </c>
      <c r="C28" s="5">
        <v>329.65</v>
      </c>
      <c r="D28" s="15">
        <v>97.7</v>
      </c>
      <c r="E28" s="36"/>
      <c r="F28" s="37">
        <f t="shared" ref="F28:G28" si="29">(C28-C29)/C29</f>
        <v>0.08928394409</v>
      </c>
      <c r="G28" s="37">
        <f t="shared" si="29"/>
        <v>0.06951286262</v>
      </c>
      <c r="H28" s="42">
        <f t="shared" si="3"/>
        <v>0.06951286262</v>
      </c>
      <c r="I28" s="43">
        <f t="shared" si="4"/>
        <v>0.08928394409</v>
      </c>
    </row>
    <row r="29">
      <c r="A29" s="7">
        <v>45866.0</v>
      </c>
      <c r="B29" s="19">
        <v>45866.0</v>
      </c>
      <c r="C29" s="8">
        <v>302.63</v>
      </c>
      <c r="D29" s="20">
        <v>91.35</v>
      </c>
      <c r="E29" s="36"/>
      <c r="F29" s="37">
        <f t="shared" ref="F29:G29" si="30">(C29-C30)/C30</f>
        <v>-0.04249193191</v>
      </c>
      <c r="G29" s="37">
        <f t="shared" si="30"/>
        <v>-0.1087804878</v>
      </c>
      <c r="H29" s="42">
        <f t="shared" si="3"/>
        <v>-0.1087804878</v>
      </c>
      <c r="I29" s="43">
        <f t="shared" si="4"/>
        <v>-0.04249193191</v>
      </c>
    </row>
    <row r="30">
      <c r="A30" s="4">
        <v>45859.0</v>
      </c>
      <c r="B30" s="14">
        <v>45859.0</v>
      </c>
      <c r="C30" s="5">
        <v>316.06</v>
      </c>
      <c r="D30" s="15">
        <v>102.5</v>
      </c>
      <c r="E30" s="36"/>
      <c r="F30" s="37">
        <f t="shared" ref="F30:G30" si="31">(C30-C31)/C31</f>
        <v>-0.04122554224</v>
      </c>
      <c r="G30" s="37">
        <f t="shared" si="31"/>
        <v>0.1105092091</v>
      </c>
      <c r="H30" s="42">
        <f t="shared" si="3"/>
        <v>0.1105092091</v>
      </c>
      <c r="I30" s="43">
        <f t="shared" si="4"/>
        <v>-0.04122554224</v>
      </c>
    </row>
    <row r="31">
      <c r="A31" s="7">
        <v>45852.0</v>
      </c>
      <c r="B31" s="19">
        <v>45852.0</v>
      </c>
      <c r="C31" s="8">
        <v>329.65</v>
      </c>
      <c r="D31" s="20">
        <v>92.3</v>
      </c>
      <c r="E31" s="36"/>
      <c r="F31" s="37">
        <f t="shared" ref="F31:G31" si="32">(C31-C32)/C32</f>
        <v>0.05148161143</v>
      </c>
      <c r="G31" s="37">
        <f t="shared" si="32"/>
        <v>-0.05333333333</v>
      </c>
      <c r="H31" s="42">
        <f t="shared" si="3"/>
        <v>-0.05333333333</v>
      </c>
      <c r="I31" s="43">
        <f t="shared" si="4"/>
        <v>0.05148161143</v>
      </c>
    </row>
    <row r="32">
      <c r="A32" s="4">
        <v>45845.0</v>
      </c>
      <c r="B32" s="14">
        <v>45845.0</v>
      </c>
      <c r="C32" s="5">
        <v>313.51</v>
      </c>
      <c r="D32" s="15">
        <v>97.5</v>
      </c>
      <c r="E32" s="36"/>
      <c r="F32" s="37">
        <f t="shared" ref="F32:G32" si="33">(C32-C33)/C33</f>
        <v>-0.005834786745</v>
      </c>
      <c r="G32" s="37">
        <f t="shared" si="33"/>
        <v>0.05519480519</v>
      </c>
      <c r="H32" s="42">
        <f t="shared" si="3"/>
        <v>0.05519480519</v>
      </c>
      <c r="I32" s="43">
        <f t="shared" si="4"/>
        <v>-0.005834786745</v>
      </c>
    </row>
    <row r="33">
      <c r="A33" s="7">
        <v>45838.0</v>
      </c>
      <c r="B33" s="19">
        <v>45838.0</v>
      </c>
      <c r="C33" s="8">
        <v>315.35</v>
      </c>
      <c r="D33" s="20">
        <v>92.4</v>
      </c>
      <c r="E33" s="36"/>
      <c r="F33" s="37">
        <f t="shared" ref="F33:G33" si="34">(C33-C34)/C34</f>
        <v>-0.02558477273</v>
      </c>
      <c r="G33" s="37">
        <f t="shared" si="34"/>
        <v>-0.01334757074</v>
      </c>
      <c r="H33" s="42">
        <f t="shared" si="3"/>
        <v>-0.01334757074</v>
      </c>
      <c r="I33" s="43">
        <f t="shared" si="4"/>
        <v>-0.02558477273</v>
      </c>
    </row>
    <row r="34">
      <c r="A34" s="4">
        <v>45831.0</v>
      </c>
      <c r="B34" s="14">
        <v>45831.0</v>
      </c>
      <c r="C34" s="5">
        <v>323.63</v>
      </c>
      <c r="D34" s="15">
        <v>93.65</v>
      </c>
      <c r="E34" s="36"/>
      <c r="F34" s="37">
        <f t="shared" ref="F34:G34" si="35">(C34-C35)/C35</f>
        <v>0.004562950087</v>
      </c>
      <c r="G34" s="37">
        <f t="shared" si="35"/>
        <v>0.05461711712</v>
      </c>
      <c r="H34" s="42">
        <f t="shared" si="3"/>
        <v>0.05461711712</v>
      </c>
      <c r="I34" s="43">
        <f t="shared" si="4"/>
        <v>0.004562950087</v>
      </c>
    </row>
    <row r="35">
      <c r="A35" s="7">
        <v>45824.0</v>
      </c>
      <c r="B35" s="19">
        <v>45824.0</v>
      </c>
      <c r="C35" s="8">
        <v>322.16</v>
      </c>
      <c r="D35" s="20">
        <v>88.8</v>
      </c>
      <c r="E35" s="36"/>
      <c r="F35" s="37">
        <f t="shared" ref="F35:G35" si="36">(C35-C36)/C36</f>
        <v>-0.009683071532</v>
      </c>
      <c r="G35" s="37">
        <f t="shared" si="36"/>
        <v>-0.01769911504</v>
      </c>
      <c r="H35" s="42">
        <f t="shared" si="3"/>
        <v>-0.01769911504</v>
      </c>
      <c r="I35" s="43">
        <f t="shared" si="4"/>
        <v>-0.009683071532</v>
      </c>
    </row>
    <row r="36">
      <c r="A36" s="4">
        <v>45817.0</v>
      </c>
      <c r="B36" s="14">
        <v>45817.0</v>
      </c>
      <c r="C36" s="5">
        <v>325.31</v>
      </c>
      <c r="D36" s="15">
        <v>90.4</v>
      </c>
      <c r="E36" s="36"/>
      <c r="F36" s="37">
        <f t="shared" ref="F36:G36" si="37">(C36-C37)/C37</f>
        <v>0.102222674</v>
      </c>
      <c r="G36" s="37">
        <f t="shared" si="37"/>
        <v>-0.03004291845</v>
      </c>
      <c r="H36" s="42">
        <f t="shared" si="3"/>
        <v>-0.03004291845</v>
      </c>
      <c r="I36" s="43">
        <f t="shared" si="4"/>
        <v>0.102222674</v>
      </c>
    </row>
    <row r="37">
      <c r="A37" s="7">
        <v>45810.0</v>
      </c>
      <c r="B37" s="19">
        <v>45810.0</v>
      </c>
      <c r="C37" s="8">
        <v>295.14</v>
      </c>
      <c r="D37" s="20">
        <v>93.2</v>
      </c>
      <c r="E37" s="36"/>
      <c r="F37" s="37">
        <f t="shared" ref="F37:G37" si="38">(C37-C38)/C38</f>
        <v>-0.1481267679</v>
      </c>
      <c r="G37" s="37">
        <f t="shared" si="38"/>
        <v>-0.03917525773</v>
      </c>
      <c r="H37" s="42">
        <f t="shared" si="3"/>
        <v>-0.03917525773</v>
      </c>
      <c r="I37" s="43">
        <f t="shared" si="4"/>
        <v>-0.1481267679</v>
      </c>
    </row>
    <row r="38">
      <c r="A38" s="4">
        <v>45803.0</v>
      </c>
      <c r="B38" s="14">
        <v>45803.0</v>
      </c>
      <c r="C38" s="5">
        <v>346.46</v>
      </c>
      <c r="D38" s="15">
        <v>97.0</v>
      </c>
      <c r="E38" s="36"/>
      <c r="F38" s="37">
        <f t="shared" ref="F38:G38" si="39">(C38-C39)/C39</f>
        <v>0.02098190605</v>
      </c>
      <c r="G38" s="37">
        <f t="shared" si="39"/>
        <v>0.07933681985</v>
      </c>
      <c r="H38" s="42">
        <f t="shared" si="3"/>
        <v>0.07933681985</v>
      </c>
      <c r="I38" s="43">
        <f t="shared" si="4"/>
        <v>0.02098190605</v>
      </c>
    </row>
    <row r="39">
      <c r="A39" s="7">
        <v>45796.0</v>
      </c>
      <c r="B39" s="19">
        <v>45796.0</v>
      </c>
      <c r="C39" s="8">
        <v>339.34</v>
      </c>
      <c r="D39" s="15">
        <v>89.87</v>
      </c>
      <c r="E39" s="36"/>
      <c r="F39" s="37">
        <f t="shared" ref="F39:G39" si="40">(C39-C40)/C40</f>
        <v>-0.03040173724</v>
      </c>
      <c r="G39" s="37">
        <f t="shared" si="40"/>
        <v>-0.07445932029</v>
      </c>
      <c r="H39" s="42">
        <f t="shared" si="3"/>
        <v>-0.07445932029</v>
      </c>
      <c r="I39" s="43">
        <f t="shared" si="4"/>
        <v>-0.03040173724</v>
      </c>
    </row>
    <row r="40">
      <c r="A40" s="4">
        <v>45789.0</v>
      </c>
      <c r="B40" s="14">
        <v>45796.0</v>
      </c>
      <c r="C40" s="5">
        <v>349.98</v>
      </c>
      <c r="D40" s="20">
        <v>97.1</v>
      </c>
      <c r="E40" s="36"/>
      <c r="F40" s="37">
        <f t="shared" ref="F40:G40" si="41">(C40-C41)/C41</f>
        <v>0.1734057534</v>
      </c>
      <c r="G40" s="37">
        <f t="shared" si="41"/>
        <v>0.01367574903</v>
      </c>
      <c r="H40" s="42">
        <f t="shared" si="3"/>
        <v>0.01367574903</v>
      </c>
      <c r="I40" s="43">
        <f t="shared" si="4"/>
        <v>0.1734057534</v>
      </c>
    </row>
    <row r="41">
      <c r="A41" s="7">
        <v>45782.0</v>
      </c>
      <c r="B41" s="19">
        <v>45789.0</v>
      </c>
      <c r="C41" s="8">
        <v>298.26</v>
      </c>
      <c r="D41" s="15">
        <v>95.79</v>
      </c>
      <c r="E41" s="36"/>
      <c r="F41" s="37">
        <f t="shared" ref="F41:G41" si="42">(C41-C42)/C42</f>
        <v>0.03847359075</v>
      </c>
      <c r="G41" s="37">
        <f t="shared" si="42"/>
        <v>0.03400259067</v>
      </c>
      <c r="H41" s="42">
        <f t="shared" si="3"/>
        <v>0.03400259067</v>
      </c>
      <c r="I41" s="43">
        <f t="shared" si="4"/>
        <v>0.03847359075</v>
      </c>
    </row>
    <row r="42">
      <c r="A42" s="4">
        <v>45775.0</v>
      </c>
      <c r="B42" s="14">
        <v>45782.0</v>
      </c>
      <c r="C42" s="5">
        <v>287.21</v>
      </c>
      <c r="D42" s="20">
        <v>92.64</v>
      </c>
      <c r="E42" s="36"/>
      <c r="F42" s="37">
        <f t="shared" ref="F42:G42" si="43">(C42-C43)/C43</f>
        <v>0.007931216003</v>
      </c>
      <c r="G42" s="37">
        <f t="shared" si="43"/>
        <v>-0.01645609937</v>
      </c>
      <c r="H42" s="42">
        <f t="shared" si="3"/>
        <v>-0.01645609937</v>
      </c>
      <c r="I42" s="43">
        <f t="shared" si="4"/>
        <v>0.007931216003</v>
      </c>
    </row>
    <row r="43">
      <c r="A43" s="7">
        <v>45768.0</v>
      </c>
      <c r="B43" s="19">
        <v>45775.0</v>
      </c>
      <c r="C43" s="8">
        <v>284.95</v>
      </c>
      <c r="D43" s="15">
        <v>94.19</v>
      </c>
      <c r="E43" s="36"/>
      <c r="F43" s="37">
        <f t="shared" ref="F43:G43" si="44">(C43-C44)/C44</f>
        <v>0.1805526785</v>
      </c>
      <c r="G43" s="37">
        <f t="shared" si="44"/>
        <v>0.09740184085</v>
      </c>
      <c r="H43" s="42">
        <f t="shared" si="3"/>
        <v>0.09740184085</v>
      </c>
      <c r="I43" s="43">
        <f t="shared" si="4"/>
        <v>0.1805526785</v>
      </c>
    </row>
    <row r="44">
      <c r="A44" s="4">
        <v>45761.0</v>
      </c>
      <c r="B44" s="14">
        <v>45768.0</v>
      </c>
      <c r="C44" s="5">
        <v>241.37</v>
      </c>
      <c r="D44" s="20">
        <v>85.83</v>
      </c>
      <c r="E44" s="36"/>
      <c r="F44" s="37">
        <f t="shared" ref="F44:G44" si="45">(C44-C45)/C45</f>
        <v>-0.04335935952</v>
      </c>
      <c r="G44" s="37">
        <f t="shared" si="45"/>
        <v>0.04276515612</v>
      </c>
      <c r="H44" s="42">
        <f t="shared" si="3"/>
        <v>0.04276515612</v>
      </c>
      <c r="I44" s="43">
        <f t="shared" si="4"/>
        <v>-0.04335935952</v>
      </c>
    </row>
    <row r="45">
      <c r="A45" s="7">
        <v>45754.0</v>
      </c>
      <c r="B45" s="19">
        <v>45761.0</v>
      </c>
      <c r="C45" s="8">
        <v>252.31</v>
      </c>
      <c r="D45" s="15">
        <v>82.31</v>
      </c>
      <c r="E45" s="36"/>
      <c r="F45" s="37">
        <f t="shared" ref="F45:G45" si="46">(C45-C46)/C46</f>
        <v>0.05379442843</v>
      </c>
      <c r="G45" s="37">
        <f t="shared" si="46"/>
        <v>-0.02718354804</v>
      </c>
      <c r="H45" s="42">
        <f t="shared" si="3"/>
        <v>-0.02718354804</v>
      </c>
      <c r="I45" s="43">
        <f t="shared" si="4"/>
        <v>0.05379442843</v>
      </c>
    </row>
    <row r="46">
      <c r="A46" s="4">
        <v>45747.0</v>
      </c>
      <c r="B46" s="14">
        <v>45754.0</v>
      </c>
      <c r="C46" s="5">
        <v>239.43</v>
      </c>
      <c r="D46" s="20">
        <v>84.61</v>
      </c>
      <c r="E46" s="36"/>
      <c r="F46" s="37">
        <f t="shared" ref="F46:G46" si="47">(C46-C47)/C47</f>
        <v>-0.09151963574</v>
      </c>
      <c r="G46" s="37">
        <f t="shared" si="47"/>
        <v>-0.09216738197</v>
      </c>
      <c r="H46" s="42">
        <f t="shared" si="3"/>
        <v>-0.09216738197</v>
      </c>
      <c r="I46" s="43">
        <f t="shared" si="4"/>
        <v>-0.09151963574</v>
      </c>
    </row>
    <row r="47">
      <c r="A47" s="7">
        <v>45740.0</v>
      </c>
      <c r="B47" s="19">
        <v>45747.0</v>
      </c>
      <c r="C47" s="8">
        <v>263.55</v>
      </c>
      <c r="D47" s="15">
        <v>93.2</v>
      </c>
      <c r="E47" s="36"/>
      <c r="F47" s="37">
        <f t="shared" ref="F47:G47" si="48">(C47-C48)/C48</f>
        <v>0.05966788629</v>
      </c>
      <c r="G47" s="37">
        <f t="shared" si="48"/>
        <v>-0.04292462518</v>
      </c>
      <c r="H47" s="42">
        <f t="shared" si="3"/>
        <v>-0.04292462518</v>
      </c>
      <c r="I47" s="43">
        <f t="shared" si="4"/>
        <v>0.05966788629</v>
      </c>
    </row>
    <row r="48">
      <c r="A48" s="4">
        <v>45733.0</v>
      </c>
      <c r="B48" s="14">
        <v>45740.0</v>
      </c>
      <c r="C48" s="5">
        <v>248.71</v>
      </c>
      <c r="D48" s="20">
        <v>97.38</v>
      </c>
      <c r="E48" s="36"/>
      <c r="F48" s="37">
        <f t="shared" ref="F48:G48" si="49">(C48-C49)/C49</f>
        <v>-0.005080406433</v>
      </c>
      <c r="G48" s="37">
        <f t="shared" si="49"/>
        <v>-0.05474665114</v>
      </c>
      <c r="H48" s="42">
        <f t="shared" si="3"/>
        <v>-0.05474665114</v>
      </c>
      <c r="I48" s="43">
        <f t="shared" si="4"/>
        <v>-0.005080406433</v>
      </c>
    </row>
    <row r="49">
      <c r="A49" s="7">
        <v>45726.0</v>
      </c>
      <c r="B49" s="19">
        <v>45733.0</v>
      </c>
      <c r="C49" s="8">
        <v>249.98</v>
      </c>
      <c r="D49" s="15">
        <v>103.02</v>
      </c>
      <c r="E49" s="36"/>
      <c r="F49" s="37">
        <f t="shared" ref="F49:G49" si="50">(C49-C50)/C50</f>
        <v>-0.04831156965</v>
      </c>
      <c r="G49" s="37">
        <f t="shared" si="50"/>
        <v>-0.01170376055</v>
      </c>
      <c r="H49" s="42">
        <f t="shared" si="3"/>
        <v>-0.01170376055</v>
      </c>
      <c r="I49" s="43">
        <f t="shared" si="4"/>
        <v>-0.04831156965</v>
      </c>
    </row>
    <row r="50">
      <c r="A50" s="4">
        <v>45719.0</v>
      </c>
      <c r="B50" s="14">
        <v>45726.0</v>
      </c>
      <c r="C50" s="5">
        <v>262.67</v>
      </c>
      <c r="D50" s="20">
        <v>104.24</v>
      </c>
      <c r="E50" s="36"/>
      <c r="F50" s="37">
        <f t="shared" ref="F50:G50" si="51">(C50-C51)/C51</f>
        <v>-0.1034541607</v>
      </c>
      <c r="G50" s="37">
        <f t="shared" si="51"/>
        <v>0.03649199562</v>
      </c>
      <c r="H50" s="42">
        <f t="shared" si="3"/>
        <v>0.03649199562</v>
      </c>
      <c r="I50" s="43">
        <f t="shared" si="4"/>
        <v>-0.1034541607</v>
      </c>
    </row>
    <row r="51">
      <c r="A51" s="7">
        <v>45712.0</v>
      </c>
      <c r="B51" s="19">
        <v>45719.0</v>
      </c>
      <c r="C51" s="8">
        <v>292.98</v>
      </c>
      <c r="D51" s="15">
        <v>100.57</v>
      </c>
      <c r="E51" s="36"/>
      <c r="F51" s="37">
        <f t="shared" ref="F51:G51" si="52">(C51-C52)/C52</f>
        <v>-0.1326820604</v>
      </c>
      <c r="G51" s="37">
        <f t="shared" si="52"/>
        <v>0.04586106489</v>
      </c>
      <c r="H51" s="42">
        <f t="shared" si="3"/>
        <v>0.04586106489</v>
      </c>
      <c r="I51" s="43">
        <f t="shared" si="4"/>
        <v>-0.1326820604</v>
      </c>
    </row>
    <row r="52">
      <c r="A52" s="4">
        <v>45705.0</v>
      </c>
      <c r="B52" s="14">
        <v>45712.0</v>
      </c>
      <c r="C52" s="5">
        <v>337.8</v>
      </c>
      <c r="D52" s="20">
        <v>96.16</v>
      </c>
      <c r="E52" s="36"/>
      <c r="F52" s="37">
        <f t="shared" ref="F52:G52" si="53">(C52-C53)/C53</f>
        <v>-0.05069694245</v>
      </c>
      <c r="G52" s="37">
        <f t="shared" si="53"/>
        <v>-0.01161476</v>
      </c>
      <c r="H52" s="42">
        <f t="shared" si="3"/>
        <v>-0.01161476</v>
      </c>
      <c r="I52" s="43">
        <f t="shared" si="4"/>
        <v>-0.05069694245</v>
      </c>
    </row>
    <row r="53">
      <c r="A53" s="7">
        <v>45698.0</v>
      </c>
      <c r="B53" s="19">
        <v>45705.0</v>
      </c>
      <c r="C53" s="8">
        <v>355.84</v>
      </c>
      <c r="D53" s="15">
        <v>97.29</v>
      </c>
      <c r="E53" s="36"/>
      <c r="F53" s="37">
        <f t="shared" ref="F53:G53" si="54">(C53-C54)/C54</f>
        <v>-0.01598362922</v>
      </c>
      <c r="G53" s="37">
        <f t="shared" si="54"/>
        <v>0.07419675389</v>
      </c>
      <c r="H53" s="42">
        <f t="shared" si="3"/>
        <v>0.07419675389</v>
      </c>
      <c r="I53" s="43">
        <f t="shared" si="4"/>
        <v>-0.01598362922</v>
      </c>
    </row>
    <row r="54">
      <c r="A54" s="10">
        <v>45691.0</v>
      </c>
      <c r="B54" s="14">
        <v>45698.0</v>
      </c>
      <c r="C54" s="11">
        <v>361.62</v>
      </c>
      <c r="D54" s="27">
        <v>90.57</v>
      </c>
      <c r="E54" s="36"/>
      <c r="F54" s="44"/>
      <c r="G54" s="44"/>
      <c r="H54" s="42"/>
      <c r="I54" s="45"/>
    </row>
    <row r="55">
      <c r="A55" s="22"/>
      <c r="B55" s="26">
        <v>45691.0</v>
      </c>
      <c r="C55" s="8"/>
      <c r="D55" s="8"/>
      <c r="E55" s="8"/>
      <c r="F55" s="44"/>
      <c r="G55" s="44"/>
      <c r="H55" s="46"/>
      <c r="I55" s="45"/>
    </row>
  </sheetData>
  <hyperlinks>
    <hyperlink r:id="rId1" ref="D1"/>
    <hyperlink r:id="rId2" ref="G1"/>
    <hyperlink r:id="rId3" ref="H1"/>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5.63"/>
  </cols>
  <sheetData>
    <row r="1" ht="42.0" customHeight="1">
      <c r="A1" s="1" t="s">
        <v>0</v>
      </c>
      <c r="B1" s="1" t="s">
        <v>0</v>
      </c>
      <c r="C1" s="33" t="s">
        <v>10</v>
      </c>
      <c r="D1" s="34" t="s">
        <v>11</v>
      </c>
      <c r="F1" s="47"/>
      <c r="G1" s="48" t="s">
        <v>10</v>
      </c>
      <c r="H1" s="49" t="s">
        <v>11</v>
      </c>
    </row>
    <row r="2">
      <c r="A2" s="4">
        <v>46055.0</v>
      </c>
      <c r="B2" s="14">
        <v>46055.0</v>
      </c>
      <c r="C2" s="37">
        <v>-0.01998094839803913</v>
      </c>
      <c r="D2" s="37">
        <v>0.0019436345966957105</v>
      </c>
      <c r="F2" s="50" t="s">
        <v>16</v>
      </c>
      <c r="G2" s="51">
        <f t="shared" ref="G2:H2" si="1">MAX(C2:C53)</f>
        <v>0.1805526785</v>
      </c>
      <c r="H2" s="51">
        <f t="shared" si="1"/>
        <v>0.1105092091</v>
      </c>
    </row>
    <row r="3">
      <c r="A3" s="7">
        <v>46048.0</v>
      </c>
      <c r="B3" s="19">
        <v>46048.0</v>
      </c>
      <c r="C3" s="37">
        <v>-0.04153119850354068</v>
      </c>
      <c r="D3" s="37">
        <v>-0.02464454976303312</v>
      </c>
      <c r="F3" s="50" t="s">
        <v>17</v>
      </c>
      <c r="G3" s="51">
        <f t="shared" ref="G3:H3" si="2">MIN(C2:C53)</f>
        <v>-0.1481267679</v>
      </c>
      <c r="H3" s="51">
        <f t="shared" si="2"/>
        <v>-0.1087804878</v>
      </c>
    </row>
    <row r="4">
      <c r="A4" s="4">
        <v>46041.0</v>
      </c>
      <c r="B4" s="14">
        <v>46041.0</v>
      </c>
      <c r="C4" s="37">
        <v>0.026422857142857147</v>
      </c>
      <c r="D4" s="37">
        <v>0.04352126607319492</v>
      </c>
      <c r="F4" s="50" t="s">
        <v>18</v>
      </c>
      <c r="G4" s="51">
        <f t="shared" ref="G4:H4" si="3">G2-G3</f>
        <v>0.3286794463</v>
      </c>
      <c r="H4" s="51">
        <f t="shared" si="3"/>
        <v>0.2192896969</v>
      </c>
    </row>
    <row r="5">
      <c r="A5" s="7">
        <v>46034.0</v>
      </c>
      <c r="B5" s="19">
        <v>46034.0</v>
      </c>
      <c r="C5" s="37">
        <v>-0.016876025257859355</v>
      </c>
      <c r="D5" s="37">
        <v>-0.03622497616777894</v>
      </c>
      <c r="F5" s="52"/>
      <c r="G5" s="53"/>
      <c r="H5" s="53"/>
    </row>
    <row r="6">
      <c r="A6" s="4">
        <v>46027.0</v>
      </c>
      <c r="B6" s="14">
        <v>46027.0</v>
      </c>
      <c r="C6" s="37">
        <v>0.015842216997283533</v>
      </c>
      <c r="D6" s="37">
        <v>-0.024186046511627854</v>
      </c>
      <c r="F6" s="50" t="s">
        <v>19</v>
      </c>
      <c r="G6" s="51">
        <f t="shared" ref="G6:H6" si="4">_xlfn.PERCENTILE.INC(C:C,0.75)</f>
        <v>0.05099152785</v>
      </c>
      <c r="H6" s="51">
        <f t="shared" si="4"/>
        <v>0.03942692121</v>
      </c>
    </row>
    <row r="7">
      <c r="A7" s="7">
        <v>46020.0</v>
      </c>
      <c r="B7" s="19">
        <v>46020.0</v>
      </c>
      <c r="C7" s="37">
        <v>-0.07811612197226374</v>
      </c>
      <c r="D7" s="37">
        <v>0.02969348659003826</v>
      </c>
      <c r="F7" s="50" t="s">
        <v>20</v>
      </c>
      <c r="G7" s="51">
        <f t="shared" ref="G7:H7" si="5">_xlfn.PERCENTILE.INC(C:C,0.25)</f>
        <v>-0.03881765746</v>
      </c>
      <c r="H7" s="51">
        <f t="shared" si="5"/>
        <v>-0.03131292141</v>
      </c>
    </row>
    <row r="8">
      <c r="A8" s="4">
        <v>46013.0</v>
      </c>
      <c r="B8" s="14">
        <v>46013.0</v>
      </c>
      <c r="C8" s="37">
        <v>-0.012489609310058169</v>
      </c>
      <c r="D8" s="37">
        <v>-0.0057142857142856605</v>
      </c>
      <c r="F8" s="50" t="s">
        <v>21</v>
      </c>
      <c r="G8" s="51">
        <f t="shared" ref="G8:H8" si="6">G6-G7</f>
        <v>0.08980918531</v>
      </c>
      <c r="H8" s="51">
        <f t="shared" si="6"/>
        <v>0.07073984262</v>
      </c>
    </row>
    <row r="9">
      <c r="A9" s="7">
        <v>46006.0</v>
      </c>
      <c r="B9" s="19">
        <v>46006.0</v>
      </c>
      <c r="C9" s="37">
        <v>0.04845738190692001</v>
      </c>
      <c r="D9" s="37">
        <v>-0.040219378427787986</v>
      </c>
      <c r="F9" s="53"/>
      <c r="G9" s="53"/>
      <c r="H9" s="53"/>
    </row>
    <row r="10">
      <c r="A10" s="4">
        <v>45999.0</v>
      </c>
      <c r="B10" s="14">
        <v>45999.0</v>
      </c>
      <c r="C10" s="37">
        <v>0.008703296703296658</v>
      </c>
      <c r="D10" s="37">
        <v>0.01015697137580802</v>
      </c>
      <c r="F10" s="54" t="s">
        <v>22</v>
      </c>
      <c r="G10" s="51">
        <f t="shared" ref="G10:H10" si="7">AVERAGE(C:C)</f>
        <v>0.005156609599</v>
      </c>
      <c r="H10" s="51">
        <f t="shared" si="7"/>
        <v>0.003653576282</v>
      </c>
    </row>
    <row r="11">
      <c r="A11" s="7">
        <v>45992.0</v>
      </c>
      <c r="B11" s="19">
        <v>45992.0</v>
      </c>
      <c r="C11" s="37">
        <v>0.05772136597159259</v>
      </c>
      <c r="D11" s="37">
        <v>0.08844221105527636</v>
      </c>
      <c r="F11" s="54" t="s">
        <v>23</v>
      </c>
      <c r="G11" s="51">
        <f t="shared" ref="G11:H11" si="8">AVEDEV(C:C)*52/51</f>
        <v>0.05290456529</v>
      </c>
      <c r="H11" s="51">
        <f t="shared" si="8"/>
        <v>0.04110085525</v>
      </c>
    </row>
    <row r="12">
      <c r="A12" s="4">
        <v>45985.0</v>
      </c>
      <c r="B12" s="14">
        <v>45985.0</v>
      </c>
      <c r="C12" s="37">
        <v>0.09992584827021925</v>
      </c>
      <c r="D12" s="37">
        <v>0.03484139365574617</v>
      </c>
      <c r="F12" s="54" t="s">
        <v>24</v>
      </c>
      <c r="G12" s="51">
        <f t="shared" ref="G12:H12" si="9">_xlfn.VAR.S(C:C)</f>
        <v>0.004531931989</v>
      </c>
      <c r="H12" s="51">
        <f t="shared" si="9"/>
        <v>0.002370698062</v>
      </c>
    </row>
    <row r="13">
      <c r="A13" s="7">
        <v>45978.0</v>
      </c>
      <c r="B13" s="19">
        <v>45978.0</v>
      </c>
      <c r="C13" s="37">
        <v>-0.032793372078644856</v>
      </c>
      <c r="D13" s="37">
        <v>-0.035122930255895635</v>
      </c>
      <c r="F13" s="54" t="s">
        <v>25</v>
      </c>
      <c r="G13" s="51">
        <f t="shared" ref="G13:H13" si="10">_xlfn.STDEV.S(C:C)</f>
        <v>0.06731962559</v>
      </c>
      <c r="H13" s="51">
        <f t="shared" si="10"/>
        <v>0.04868981477</v>
      </c>
    </row>
    <row r="14">
      <c r="A14" s="4">
        <v>45971.0</v>
      </c>
      <c r="B14" s="14">
        <v>45971.0</v>
      </c>
      <c r="C14" s="37">
        <v>-0.05860029800707758</v>
      </c>
      <c r="D14" s="37">
        <v>0.05060622034791789</v>
      </c>
      <c r="F14" s="55" t="s">
        <v>26</v>
      </c>
      <c r="G14" s="56">
        <f t="shared" ref="G14:H14" si="11">G13/G10</f>
        <v>13.05501693</v>
      </c>
      <c r="H14" s="56">
        <f t="shared" si="11"/>
        <v>13.32661781</v>
      </c>
    </row>
    <row r="15">
      <c r="A15" s="7">
        <v>45964.0</v>
      </c>
      <c r="B15" s="19">
        <v>45964.0</v>
      </c>
      <c r="C15" s="37">
        <v>-0.05922551252847385</v>
      </c>
      <c r="D15" s="37">
        <v>0.03831417624521073</v>
      </c>
    </row>
    <row r="16">
      <c r="A16" s="4">
        <v>45957.0</v>
      </c>
      <c r="B16" s="14">
        <v>45957.0</v>
      </c>
      <c r="C16" s="37">
        <v>0.05266070275753937</v>
      </c>
      <c r="D16" s="37">
        <v>-0.0010934937124112468</v>
      </c>
      <c r="F16" s="57" t="s">
        <v>27</v>
      </c>
      <c r="G16" s="58">
        <f>G8*1.5</f>
        <v>0.134713778</v>
      </c>
    </row>
    <row r="17">
      <c r="A17" s="7">
        <v>45950.0</v>
      </c>
      <c r="B17" s="19">
        <v>45950.0</v>
      </c>
      <c r="C17" s="37">
        <v>-0.012724499783751736</v>
      </c>
      <c r="D17" s="37">
        <v>-0.01135135135135132</v>
      </c>
    </row>
    <row r="18">
      <c r="A18" s="4">
        <v>45943.0</v>
      </c>
      <c r="B18" s="14">
        <v>45943.0</v>
      </c>
      <c r="C18" s="37">
        <v>0.062444073617257956</v>
      </c>
      <c r="D18" s="37">
        <v>0.01816180517336275</v>
      </c>
    </row>
    <row r="19">
      <c r="A19" s="7">
        <v>45936.0</v>
      </c>
      <c r="B19" s="19">
        <v>45936.0</v>
      </c>
      <c r="C19" s="37">
        <v>-0.038015029197589686</v>
      </c>
      <c r="D19" s="37">
        <v>-0.03556263269639075</v>
      </c>
    </row>
    <row r="20">
      <c r="A20" s="4">
        <v>45929.0</v>
      </c>
      <c r="B20" s="14">
        <v>45929.0</v>
      </c>
      <c r="C20" s="37">
        <v>-0.02400090826521343</v>
      </c>
      <c r="D20" s="37">
        <v>0.017278617710583248</v>
      </c>
    </row>
    <row r="21">
      <c r="A21" s="7">
        <v>45922.0</v>
      </c>
      <c r="B21" s="19">
        <v>45922.0</v>
      </c>
      <c r="C21" s="37">
        <v>0.03363297110803386</v>
      </c>
      <c r="D21" s="37">
        <v>-0.057985757884028516</v>
      </c>
    </row>
    <row r="22">
      <c r="A22" s="4">
        <v>45915.0</v>
      </c>
      <c r="B22" s="14">
        <v>45915.0</v>
      </c>
      <c r="C22" s="37">
        <v>0.07609738849320603</v>
      </c>
      <c r="D22" s="37">
        <v>-0.047480620155038816</v>
      </c>
    </row>
    <row r="23">
      <c r="A23" s="7">
        <v>45908.0</v>
      </c>
      <c r="B23" s="19">
        <v>45908.0</v>
      </c>
      <c r="C23" s="37">
        <v>0.12854862615437243</v>
      </c>
      <c r="D23" s="37">
        <v>0.0177514792899408</v>
      </c>
    </row>
    <row r="24">
      <c r="A24" s="4">
        <v>45901.0</v>
      </c>
      <c r="B24" s="14">
        <v>45901.0</v>
      </c>
      <c r="C24" s="37">
        <v>0.05082816665169069</v>
      </c>
      <c r="D24" s="37">
        <v>-0.00782778864970643</v>
      </c>
    </row>
    <row r="25">
      <c r="A25" s="7">
        <v>45894.0</v>
      </c>
      <c r="B25" s="19">
        <v>45894.0</v>
      </c>
      <c r="C25" s="37">
        <v>-0.018058292403164575</v>
      </c>
      <c r="D25" s="37">
        <v>-0.02666666666666664</v>
      </c>
    </row>
    <row r="26">
      <c r="A26" s="4">
        <v>45887.0</v>
      </c>
      <c r="B26" s="14">
        <v>45887.0</v>
      </c>
      <c r="C26" s="37">
        <v>0.028587850919651468</v>
      </c>
      <c r="D26" s="37">
        <v>0.029411764705882353</v>
      </c>
    </row>
    <row r="27">
      <c r="A27" s="7">
        <v>45880.0</v>
      </c>
      <c r="B27" s="19">
        <v>45880.0</v>
      </c>
      <c r="C27" s="37">
        <v>0.0027605035643865467</v>
      </c>
      <c r="D27" s="37">
        <v>0.044012282497441116</v>
      </c>
    </row>
    <row r="28">
      <c r="A28" s="4">
        <v>45873.0</v>
      </c>
      <c r="B28" s="14">
        <v>45873.0</v>
      </c>
      <c r="C28" s="37">
        <v>0.08928394409014302</v>
      </c>
      <c r="D28" s="37">
        <v>0.06951286261631098</v>
      </c>
    </row>
    <row r="29">
      <c r="A29" s="7">
        <v>45866.0</v>
      </c>
      <c r="B29" s="19">
        <v>45866.0</v>
      </c>
      <c r="C29" s="37">
        <v>-0.04249193191166237</v>
      </c>
      <c r="D29" s="37">
        <v>-0.1087804878048781</v>
      </c>
    </row>
    <row r="30">
      <c r="A30" s="4">
        <v>45859.0</v>
      </c>
      <c r="B30" s="14">
        <v>45859.0</v>
      </c>
      <c r="C30" s="37">
        <v>-0.0412255422417715</v>
      </c>
      <c r="D30" s="37">
        <v>0.11050920910075843</v>
      </c>
    </row>
    <row r="31">
      <c r="A31" s="7">
        <v>45852.0</v>
      </c>
      <c r="B31" s="19">
        <v>45852.0</v>
      </c>
      <c r="C31" s="37">
        <v>0.05148161143185221</v>
      </c>
      <c r="D31" s="37">
        <v>-0.053333333333333365</v>
      </c>
    </row>
    <row r="32">
      <c r="A32" s="4">
        <v>45845.0</v>
      </c>
      <c r="B32" s="14">
        <v>45845.0</v>
      </c>
      <c r="C32" s="37">
        <v>-0.0058347867448867346</v>
      </c>
      <c r="D32" s="37">
        <v>0.05519480519480513</v>
      </c>
    </row>
    <row r="33">
      <c r="A33" s="7">
        <v>45838.0</v>
      </c>
      <c r="B33" s="19">
        <v>45838.0</v>
      </c>
      <c r="C33" s="37">
        <v>-0.025584772734295252</v>
      </c>
      <c r="D33" s="37">
        <v>-0.013347570742124932</v>
      </c>
    </row>
    <row r="34">
      <c r="A34" s="4">
        <v>45831.0</v>
      </c>
      <c r="B34" s="14">
        <v>45831.0</v>
      </c>
      <c r="C34" s="37">
        <v>0.004562950086913243</v>
      </c>
      <c r="D34" s="37">
        <v>0.05461711711711721</v>
      </c>
    </row>
    <row r="35">
      <c r="A35" s="7">
        <v>45824.0</v>
      </c>
      <c r="B35" s="19">
        <v>45824.0</v>
      </c>
      <c r="C35" s="37">
        <v>-0.009683071531769626</v>
      </c>
      <c r="D35" s="37">
        <v>-0.01769911504424788</v>
      </c>
    </row>
    <row r="36">
      <c r="A36" s="4">
        <v>45817.0</v>
      </c>
      <c r="B36" s="14">
        <v>45817.0</v>
      </c>
      <c r="C36" s="37">
        <v>0.10222267398522741</v>
      </c>
      <c r="D36" s="37">
        <v>-0.03004291845493559</v>
      </c>
    </row>
    <row r="37">
      <c r="A37" s="7">
        <v>45810.0</v>
      </c>
      <c r="B37" s="19">
        <v>45810.0</v>
      </c>
      <c r="C37" s="37">
        <v>-0.14812676788085202</v>
      </c>
      <c r="D37" s="37">
        <v>-0.039175257731958735</v>
      </c>
    </row>
    <row r="38">
      <c r="A38" s="4">
        <v>45803.0</v>
      </c>
      <c r="B38" s="14">
        <v>45803.0</v>
      </c>
      <c r="C38" s="37">
        <v>0.020981906052926283</v>
      </c>
      <c r="D38" s="37">
        <v>0.07933681985089569</v>
      </c>
    </row>
    <row r="39">
      <c r="A39" s="7">
        <v>45796.0</v>
      </c>
      <c r="B39" s="19">
        <v>45796.0</v>
      </c>
      <c r="C39" s="37">
        <v>-0.030401737242128243</v>
      </c>
      <c r="D39" s="37">
        <v>-0.07445932028836241</v>
      </c>
    </row>
    <row r="40">
      <c r="A40" s="4">
        <v>45789.0</v>
      </c>
      <c r="B40" s="14">
        <v>45796.0</v>
      </c>
      <c r="C40" s="37">
        <v>0.17340575336954345</v>
      </c>
      <c r="D40" s="37">
        <v>0.01367574903434584</v>
      </c>
    </row>
    <row r="41">
      <c r="A41" s="7">
        <v>45782.0</v>
      </c>
      <c r="B41" s="19">
        <v>45789.0</v>
      </c>
      <c r="C41" s="37">
        <v>0.03847359075241117</v>
      </c>
      <c r="D41" s="37">
        <v>0.03400259067357519</v>
      </c>
    </row>
    <row r="42">
      <c r="A42" s="4">
        <v>45775.0</v>
      </c>
      <c r="B42" s="14">
        <v>45782.0</v>
      </c>
      <c r="C42" s="37">
        <v>0.007931216002807478</v>
      </c>
      <c r="D42" s="37">
        <v>-0.01645609937360651</v>
      </c>
    </row>
    <row r="43">
      <c r="A43" s="7">
        <v>45768.0</v>
      </c>
      <c r="B43" s="19">
        <v>45775.0</v>
      </c>
      <c r="C43" s="37">
        <v>0.18055267846045484</v>
      </c>
      <c r="D43" s="37">
        <v>0.09740184084818827</v>
      </c>
    </row>
    <row r="44">
      <c r="A44" s="4">
        <v>45761.0</v>
      </c>
      <c r="B44" s="14">
        <v>45768.0</v>
      </c>
      <c r="C44" s="37">
        <v>-0.04335935951805318</v>
      </c>
      <c r="D44" s="37">
        <v>0.04276515611711816</v>
      </c>
    </row>
    <row r="45">
      <c r="A45" s="7">
        <v>45754.0</v>
      </c>
      <c r="B45" s="19">
        <v>45761.0</v>
      </c>
      <c r="C45" s="37">
        <v>0.05379442843419786</v>
      </c>
      <c r="D45" s="37">
        <v>-0.027183548043966402</v>
      </c>
    </row>
    <row r="46">
      <c r="A46" s="4">
        <v>45747.0</v>
      </c>
      <c r="B46" s="14">
        <v>45754.0</v>
      </c>
      <c r="C46" s="37">
        <v>-0.09151963574274333</v>
      </c>
      <c r="D46" s="37">
        <v>-0.09216738197424897</v>
      </c>
    </row>
    <row r="47">
      <c r="A47" s="7">
        <v>45740.0</v>
      </c>
      <c r="B47" s="19">
        <v>45747.0</v>
      </c>
      <c r="C47" s="37">
        <v>0.059667886293273305</v>
      </c>
      <c r="D47" s="37">
        <v>-0.042924625179708284</v>
      </c>
    </row>
    <row r="48">
      <c r="A48" s="4">
        <v>45733.0</v>
      </c>
      <c r="B48" s="14">
        <v>45740.0</v>
      </c>
      <c r="C48" s="37">
        <v>-0.0050804064325145285</v>
      </c>
      <c r="D48" s="37">
        <v>-0.05474665113570181</v>
      </c>
    </row>
    <row r="49">
      <c r="A49" s="7">
        <v>45726.0</v>
      </c>
      <c r="B49" s="19">
        <v>45733.0</v>
      </c>
      <c r="C49" s="37">
        <v>-0.04831156965013144</v>
      </c>
      <c r="D49" s="37">
        <v>-0.011703760552570979</v>
      </c>
    </row>
    <row r="50">
      <c r="A50" s="4">
        <v>45719.0</v>
      </c>
      <c r="B50" s="14">
        <v>45726.0</v>
      </c>
      <c r="C50" s="37">
        <v>-0.1034541606935627</v>
      </c>
      <c r="D50" s="37">
        <v>0.03649199562493787</v>
      </c>
    </row>
    <row r="51">
      <c r="A51" s="7">
        <v>45712.0</v>
      </c>
      <c r="B51" s="19">
        <v>45719.0</v>
      </c>
      <c r="C51" s="37">
        <v>-0.13268206039076375</v>
      </c>
      <c r="D51" s="37">
        <v>0.04586106489184689</v>
      </c>
    </row>
    <row r="52">
      <c r="A52" s="4">
        <v>45705.0</v>
      </c>
      <c r="B52" s="14">
        <v>45712.0</v>
      </c>
      <c r="C52" s="37">
        <v>-0.050696942446043065</v>
      </c>
      <c r="D52" s="37">
        <v>-0.01161475999588868</v>
      </c>
    </row>
    <row r="53">
      <c r="A53" s="7">
        <v>45698.0</v>
      </c>
      <c r="B53" s="19">
        <v>45705.0</v>
      </c>
      <c r="C53" s="37">
        <v>-0.015983629224047426</v>
      </c>
      <c r="D53" s="37">
        <v>0.07419675389201738</v>
      </c>
    </row>
    <row r="54">
      <c r="A54" s="10">
        <v>45691.0</v>
      </c>
      <c r="B54" s="14">
        <v>45698.0</v>
      </c>
      <c r="C54" s="44"/>
      <c r="D54" s="44"/>
    </row>
    <row r="55">
      <c r="A55" s="22"/>
      <c r="B55" s="26">
        <v>45691.0</v>
      </c>
      <c r="C55" s="44"/>
      <c r="D55" s="44"/>
    </row>
  </sheetData>
  <hyperlinks>
    <hyperlink r:id="rId1" ref="D1"/>
    <hyperlink r:id="rId2" ref="H1"/>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17.13"/>
  </cols>
  <sheetData>
    <row r="1">
      <c r="A1" s="59" t="s">
        <v>28</v>
      </c>
      <c r="B1" s="48" t="s">
        <v>10</v>
      </c>
      <c r="C1" s="49" t="s">
        <v>11</v>
      </c>
      <c r="E1" s="60"/>
      <c r="F1" s="48" t="s">
        <v>10</v>
      </c>
      <c r="G1" s="49" t="s">
        <v>11</v>
      </c>
      <c r="J1" s="61"/>
      <c r="K1" s="62"/>
      <c r="L1" s="62"/>
      <c r="M1" s="62"/>
      <c r="N1" s="62"/>
      <c r="O1" s="62"/>
      <c r="P1" s="62"/>
      <c r="Q1" s="62"/>
    </row>
    <row r="2">
      <c r="A2" s="55">
        <v>1.0</v>
      </c>
      <c r="B2" s="63">
        <v>-0.01998094839803913</v>
      </c>
      <c r="C2" s="63">
        <v>0.0019436345966957105</v>
      </c>
      <c r="E2" s="50" t="s">
        <v>22</v>
      </c>
      <c r="F2" s="64">
        <f t="shared" ref="F2:G2" si="1">AVERAGE(B2:B53)</f>
        <v>0.005156609599</v>
      </c>
      <c r="G2" s="65">
        <f t="shared" si="1"/>
        <v>0.003653576282</v>
      </c>
      <c r="J2" s="66"/>
      <c r="K2" s="62"/>
      <c r="L2" s="62"/>
      <c r="M2" s="62"/>
      <c r="N2" s="62"/>
      <c r="O2" s="62"/>
      <c r="P2" s="62"/>
      <c r="Q2" s="62"/>
    </row>
    <row r="3">
      <c r="A3" s="55">
        <v>2.0</v>
      </c>
      <c r="B3" s="63">
        <v>-0.04153119850354068</v>
      </c>
      <c r="C3" s="63">
        <v>-0.02464454976303312</v>
      </c>
      <c r="E3" s="50" t="s">
        <v>23</v>
      </c>
      <c r="F3" s="67">
        <f t="shared" ref="F3:G3" si="2">AVEDEV(B2:B53)*52/51</f>
        <v>0.05290456529</v>
      </c>
      <c r="G3" s="67">
        <f t="shared" si="2"/>
        <v>0.04110085525</v>
      </c>
      <c r="J3" s="66"/>
      <c r="K3" s="62"/>
      <c r="L3" s="62"/>
      <c r="M3" s="62"/>
      <c r="N3" s="62"/>
      <c r="O3" s="62"/>
      <c r="P3" s="62"/>
      <c r="Q3" s="62"/>
    </row>
    <row r="4">
      <c r="A4" s="55">
        <v>3.0</v>
      </c>
      <c r="B4" s="63">
        <v>0.026422857142857147</v>
      </c>
      <c r="C4" s="63">
        <v>0.04352126607319492</v>
      </c>
      <c r="E4" s="50" t="s">
        <v>24</v>
      </c>
      <c r="F4" s="67">
        <f t="shared" ref="F4:G4" si="3">_xlfn.VAR.S(B2:B53)</f>
        <v>0.004531931989</v>
      </c>
      <c r="G4" s="67">
        <f t="shared" si="3"/>
        <v>0.002370698062</v>
      </c>
      <c r="J4" s="68"/>
      <c r="K4" s="62"/>
      <c r="L4" s="62"/>
      <c r="M4" s="62"/>
      <c r="N4" s="62"/>
      <c r="O4" s="62"/>
      <c r="P4" s="62"/>
      <c r="Q4" s="62"/>
    </row>
    <row r="5">
      <c r="A5" s="55">
        <v>4.0</v>
      </c>
      <c r="B5" s="63">
        <v>-0.016876025257859355</v>
      </c>
      <c r="C5" s="63">
        <v>-0.03622497616777894</v>
      </c>
      <c r="E5" s="50" t="s">
        <v>25</v>
      </c>
      <c r="F5" s="69">
        <f t="shared" ref="F5:G5" si="4">_xlfn.STDEV.S(B2:B53)</f>
        <v>0.06731962559</v>
      </c>
      <c r="G5" s="67">
        <f t="shared" si="4"/>
        <v>0.04868981477</v>
      </c>
      <c r="J5" s="66"/>
      <c r="K5" s="62"/>
      <c r="L5" s="62"/>
      <c r="M5" s="62"/>
      <c r="N5" s="62"/>
      <c r="O5" s="62"/>
      <c r="P5" s="62"/>
      <c r="Q5" s="62"/>
    </row>
    <row r="6">
      <c r="A6" s="55">
        <v>5.0</v>
      </c>
      <c r="B6" s="63">
        <v>0.015842216997283533</v>
      </c>
      <c r="C6" s="63">
        <v>-0.024186046511627854</v>
      </c>
      <c r="E6" s="55" t="s">
        <v>26</v>
      </c>
      <c r="F6" s="56">
        <f t="shared" ref="F6:G6" si="5">F5/F2</f>
        <v>13.05501693</v>
      </c>
      <c r="G6" s="56">
        <f t="shared" si="5"/>
        <v>13.32661781</v>
      </c>
      <c r="H6" s="70"/>
      <c r="J6" s="71"/>
      <c r="K6" s="62"/>
      <c r="L6" s="62"/>
      <c r="M6" s="62"/>
      <c r="N6" s="62"/>
      <c r="O6" s="62"/>
      <c r="P6" s="62"/>
      <c r="Q6" s="62"/>
    </row>
    <row r="7">
      <c r="A7" s="55">
        <v>6.0</v>
      </c>
      <c r="B7" s="63">
        <v>-0.07811612197226374</v>
      </c>
      <c r="C7" s="63">
        <v>0.02969348659003826</v>
      </c>
      <c r="J7" s="68"/>
      <c r="K7" s="62"/>
      <c r="L7" s="62"/>
      <c r="M7" s="62"/>
      <c r="N7" s="62"/>
      <c r="O7" s="62"/>
      <c r="P7" s="62"/>
      <c r="Q7" s="62"/>
    </row>
    <row r="8">
      <c r="A8" s="55">
        <v>7.0</v>
      </c>
      <c r="B8" s="63">
        <v>-0.012489609310058169</v>
      </c>
      <c r="C8" s="63">
        <v>-0.0057142857142856605</v>
      </c>
      <c r="E8" s="72" t="s">
        <v>29</v>
      </c>
      <c r="F8" s="51">
        <f t="shared" ref="F8:G8" si="6">MIN(B:B)</f>
        <v>-0.1481267679</v>
      </c>
      <c r="G8" s="51">
        <f t="shared" si="6"/>
        <v>-0.1087804878</v>
      </c>
      <c r="J8" s="62"/>
      <c r="K8" s="62"/>
      <c r="L8" s="62"/>
      <c r="M8" s="62"/>
      <c r="N8" s="62"/>
      <c r="O8" s="62"/>
      <c r="P8" s="62"/>
      <c r="Q8" s="62"/>
    </row>
    <row r="9">
      <c r="A9" s="55">
        <v>8.0</v>
      </c>
      <c r="B9" s="63">
        <v>0.04845738190692001</v>
      </c>
      <c r="C9" s="63">
        <v>-0.040219378427787986</v>
      </c>
      <c r="E9" s="55" t="s">
        <v>30</v>
      </c>
      <c r="F9" s="51">
        <f t="shared" ref="F9:G9" si="7">MAX(B:B)</f>
        <v>0.1805526785</v>
      </c>
      <c r="G9" s="51">
        <f t="shared" si="7"/>
        <v>0.1105092091</v>
      </c>
      <c r="J9" s="62"/>
      <c r="K9" s="62"/>
      <c r="L9" s="62"/>
      <c r="M9" s="62"/>
      <c r="N9" s="62"/>
      <c r="O9" s="62"/>
      <c r="P9" s="62"/>
      <c r="Q9" s="62"/>
    </row>
    <row r="10">
      <c r="A10" s="55">
        <v>9.0</v>
      </c>
      <c r="B10" s="63">
        <v>0.008703296703296658</v>
      </c>
      <c r="C10" s="63">
        <v>0.01015697137580802</v>
      </c>
      <c r="J10" s="62"/>
      <c r="K10" s="62"/>
      <c r="L10" s="62"/>
      <c r="M10" s="62"/>
      <c r="N10" s="62"/>
      <c r="O10" s="62"/>
      <c r="P10" s="62"/>
      <c r="Q10" s="62"/>
    </row>
    <row r="11">
      <c r="A11" s="55">
        <v>10.0</v>
      </c>
      <c r="B11" s="63">
        <v>0.05772136597159259</v>
      </c>
      <c r="C11" s="63">
        <v>0.08844221105527636</v>
      </c>
      <c r="E11" s="55" t="s">
        <v>31</v>
      </c>
      <c r="F11" s="51">
        <f t="shared" ref="F11:G11" si="8">F8-F2/F5</f>
        <v>-0.2247256728</v>
      </c>
      <c r="G11" s="51">
        <f t="shared" si="8"/>
        <v>-0.1838182816</v>
      </c>
      <c r="J11" s="62"/>
      <c r="K11" s="62"/>
      <c r="L11" s="62"/>
      <c r="M11" s="62"/>
      <c r="N11" s="62"/>
      <c r="O11" s="62"/>
      <c r="P11" s="62"/>
      <c r="Q11" s="62"/>
    </row>
    <row r="12">
      <c r="A12" s="55">
        <v>11.0</v>
      </c>
      <c r="B12" s="63">
        <v>0.09992584827021925</v>
      </c>
      <c r="C12" s="63">
        <v>0.03484139365574617</v>
      </c>
      <c r="E12" s="55" t="s">
        <v>32</v>
      </c>
      <c r="F12" s="51">
        <f t="shared" ref="F12:G12" si="9">F9-F2/F5</f>
        <v>0.1039537736</v>
      </c>
      <c r="G12" s="51">
        <f t="shared" si="9"/>
        <v>0.03547141527</v>
      </c>
      <c r="J12" s="62"/>
      <c r="K12" s="73"/>
      <c r="L12" s="62"/>
      <c r="M12" s="62"/>
      <c r="N12" s="62"/>
      <c r="O12" s="62"/>
      <c r="P12" s="62"/>
      <c r="Q12" s="62"/>
    </row>
    <row r="13">
      <c r="A13" s="55">
        <v>12.0</v>
      </c>
      <c r="B13" s="63">
        <v>-0.032793372078644856</v>
      </c>
      <c r="C13" s="63">
        <v>-0.035122930255895635</v>
      </c>
      <c r="J13" s="74"/>
      <c r="K13" s="74"/>
      <c r="L13" s="74"/>
      <c r="M13" s="62"/>
      <c r="N13" s="62"/>
      <c r="O13" s="62"/>
      <c r="P13" s="62"/>
      <c r="Q13" s="62"/>
    </row>
    <row r="14">
      <c r="A14" s="55">
        <v>13.0</v>
      </c>
      <c r="B14" s="63">
        <v>-0.05860029800707758</v>
      </c>
      <c r="C14" s="63">
        <v>0.05060622034791789</v>
      </c>
      <c r="J14" s="74"/>
      <c r="K14" s="74"/>
      <c r="L14" s="74"/>
      <c r="M14" s="62"/>
      <c r="N14" s="62"/>
      <c r="O14" s="62"/>
      <c r="P14" s="62"/>
      <c r="Q14" s="62"/>
    </row>
    <row r="15">
      <c r="A15" s="55">
        <v>14.0</v>
      </c>
      <c r="B15" s="63">
        <v>-0.05922551252847385</v>
      </c>
      <c r="C15" s="63">
        <v>0.03831417624521073</v>
      </c>
      <c r="J15" s="74"/>
      <c r="K15" s="74"/>
      <c r="L15" s="74"/>
      <c r="M15" s="62"/>
      <c r="N15" s="62"/>
      <c r="O15" s="62"/>
      <c r="P15" s="62"/>
      <c r="Q15" s="62"/>
    </row>
    <row r="16">
      <c r="A16" s="55">
        <v>15.0</v>
      </c>
      <c r="B16" s="63">
        <v>0.05266070275753937</v>
      </c>
      <c r="C16" s="63">
        <v>-0.0010934937124112468</v>
      </c>
      <c r="J16" s="74"/>
      <c r="K16" s="74"/>
      <c r="L16" s="74"/>
      <c r="M16" s="62"/>
      <c r="N16" s="62"/>
      <c r="O16" s="62"/>
      <c r="P16" s="62"/>
      <c r="Q16" s="62"/>
    </row>
    <row r="17">
      <c r="A17" s="55">
        <v>16.0</v>
      </c>
      <c r="B17" s="63">
        <v>-0.012724499783751736</v>
      </c>
      <c r="C17" s="63">
        <v>-0.01135135135135132</v>
      </c>
      <c r="J17" s="74"/>
      <c r="K17" s="74"/>
      <c r="L17" s="74"/>
      <c r="M17" s="62"/>
      <c r="N17" s="62"/>
      <c r="O17" s="62"/>
      <c r="P17" s="62"/>
      <c r="Q17" s="62"/>
    </row>
    <row r="18">
      <c r="A18" s="55">
        <v>17.0</v>
      </c>
      <c r="B18" s="63">
        <v>0.062444073617257956</v>
      </c>
      <c r="C18" s="63">
        <v>0.01816180517336275</v>
      </c>
      <c r="J18" s="74"/>
      <c r="K18" s="74"/>
      <c r="L18" s="74"/>
      <c r="M18" s="62"/>
      <c r="N18" s="62"/>
      <c r="O18" s="62"/>
      <c r="P18" s="62"/>
      <c r="Q18" s="62"/>
    </row>
    <row r="19">
      <c r="A19" s="55">
        <v>18.0</v>
      </c>
      <c r="B19" s="63">
        <v>-0.038015029197589686</v>
      </c>
      <c r="C19" s="63">
        <v>-0.03556263269639075</v>
      </c>
      <c r="J19" s="74"/>
      <c r="K19" s="74"/>
      <c r="L19" s="74"/>
      <c r="M19" s="62"/>
      <c r="N19" s="62"/>
      <c r="O19" s="62"/>
      <c r="P19" s="62"/>
      <c r="Q19" s="62"/>
    </row>
    <row r="20">
      <c r="A20" s="55">
        <v>19.0</v>
      </c>
      <c r="B20" s="63">
        <v>-0.02400090826521343</v>
      </c>
      <c r="C20" s="63">
        <v>0.017278617710583248</v>
      </c>
      <c r="J20" s="74"/>
      <c r="K20" s="74"/>
      <c r="L20" s="74"/>
      <c r="M20" s="62"/>
      <c r="N20" s="62"/>
      <c r="O20" s="62"/>
      <c r="P20" s="62"/>
      <c r="Q20" s="62"/>
    </row>
    <row r="21">
      <c r="A21" s="55">
        <v>20.0</v>
      </c>
      <c r="B21" s="63">
        <v>0.03363297110803386</v>
      </c>
      <c r="C21" s="63">
        <v>-0.057985757884028516</v>
      </c>
      <c r="J21" s="74"/>
      <c r="K21" s="74"/>
      <c r="L21" s="74"/>
      <c r="M21" s="62"/>
      <c r="N21" s="62"/>
      <c r="O21" s="62"/>
      <c r="P21" s="62"/>
      <c r="Q21" s="62"/>
    </row>
    <row r="22">
      <c r="A22" s="55">
        <v>21.0</v>
      </c>
      <c r="B22" s="63">
        <v>0.07609738849320603</v>
      </c>
      <c r="C22" s="63">
        <v>-0.047480620155038816</v>
      </c>
    </row>
    <row r="23">
      <c r="A23" s="55">
        <v>22.0</v>
      </c>
      <c r="B23" s="63">
        <v>0.12854862615437243</v>
      </c>
      <c r="C23" s="63">
        <v>0.0177514792899408</v>
      </c>
    </row>
    <row r="24">
      <c r="A24" s="55">
        <v>23.0</v>
      </c>
      <c r="B24" s="63">
        <v>0.05082816665169069</v>
      </c>
      <c r="C24" s="63">
        <v>-0.00782778864970643</v>
      </c>
    </row>
    <row r="25">
      <c r="A25" s="55">
        <v>24.0</v>
      </c>
      <c r="B25" s="63">
        <v>-0.018058292403164575</v>
      </c>
      <c r="C25" s="63">
        <v>-0.02666666666666664</v>
      </c>
    </row>
    <row r="26">
      <c r="A26" s="55">
        <v>25.0</v>
      </c>
      <c r="B26" s="63">
        <v>0.028587850919651468</v>
      </c>
      <c r="C26" s="63">
        <v>0.029411764705882353</v>
      </c>
    </row>
    <row r="27">
      <c r="A27" s="55">
        <v>26.0</v>
      </c>
      <c r="B27" s="63">
        <v>0.0027605035643865467</v>
      </c>
      <c r="C27" s="63">
        <v>0.044012282497441116</v>
      </c>
    </row>
    <row r="28">
      <c r="A28" s="55">
        <v>27.0</v>
      </c>
      <c r="B28" s="63">
        <v>0.08928394409014302</v>
      </c>
      <c r="C28" s="63">
        <v>0.06951286261631098</v>
      </c>
    </row>
    <row r="29">
      <c r="A29" s="55">
        <v>28.0</v>
      </c>
      <c r="B29" s="63">
        <v>-0.04249193191166237</v>
      </c>
      <c r="C29" s="63">
        <v>-0.1087804878048781</v>
      </c>
    </row>
    <row r="30">
      <c r="A30" s="55">
        <v>29.0</v>
      </c>
      <c r="B30" s="63">
        <v>-0.0412255422417715</v>
      </c>
      <c r="C30" s="63">
        <v>0.11050920910075843</v>
      </c>
    </row>
    <row r="31">
      <c r="A31" s="55">
        <v>30.0</v>
      </c>
      <c r="B31" s="63">
        <v>0.05148161143185221</v>
      </c>
      <c r="C31" s="63">
        <v>-0.053333333333333365</v>
      </c>
    </row>
    <row r="32">
      <c r="A32" s="55">
        <v>31.0</v>
      </c>
      <c r="B32" s="63">
        <v>-0.0058347867448867346</v>
      </c>
      <c r="C32" s="63">
        <v>0.05519480519480513</v>
      </c>
    </row>
    <row r="33">
      <c r="A33" s="55">
        <v>32.0</v>
      </c>
      <c r="B33" s="63">
        <v>-0.025584772734295252</v>
      </c>
      <c r="C33" s="63">
        <v>-0.013347570742124932</v>
      </c>
    </row>
    <row r="34">
      <c r="A34" s="55">
        <v>33.0</v>
      </c>
      <c r="B34" s="63">
        <v>0.004562950086913243</v>
      </c>
      <c r="C34" s="63">
        <v>0.05461711711711721</v>
      </c>
    </row>
    <row r="35">
      <c r="A35" s="55">
        <v>34.0</v>
      </c>
      <c r="B35" s="63">
        <v>-0.009683071531769626</v>
      </c>
      <c r="C35" s="63">
        <v>-0.01769911504424788</v>
      </c>
    </row>
    <row r="36">
      <c r="A36" s="55">
        <v>35.0</v>
      </c>
      <c r="B36" s="63">
        <v>0.10222267398522741</v>
      </c>
      <c r="C36" s="63">
        <v>-0.03004291845493559</v>
      </c>
    </row>
    <row r="37">
      <c r="A37" s="55">
        <v>36.0</v>
      </c>
      <c r="B37" s="63">
        <v>-0.14812676788085202</v>
      </c>
      <c r="C37" s="63">
        <v>-0.039175257731958735</v>
      </c>
    </row>
    <row r="38">
      <c r="A38" s="55">
        <v>37.0</v>
      </c>
      <c r="B38" s="63">
        <v>0.020981906052926283</v>
      </c>
      <c r="C38" s="63">
        <v>0.07933681985089569</v>
      </c>
    </row>
    <row r="39">
      <c r="A39" s="55">
        <v>38.0</v>
      </c>
      <c r="B39" s="63">
        <v>-0.030401737242128243</v>
      </c>
      <c r="C39" s="63">
        <v>-0.07445932028836241</v>
      </c>
    </row>
    <row r="40">
      <c r="A40" s="55">
        <v>39.0</v>
      </c>
      <c r="B40" s="63">
        <v>0.17340575336954345</v>
      </c>
      <c r="C40" s="63">
        <v>0.01367574903434584</v>
      </c>
    </row>
    <row r="41">
      <c r="A41" s="55">
        <v>40.0</v>
      </c>
      <c r="B41" s="63">
        <v>0.03847359075241117</v>
      </c>
      <c r="C41" s="63">
        <v>0.03400259067357519</v>
      </c>
    </row>
    <row r="42">
      <c r="A42" s="55">
        <v>41.0</v>
      </c>
      <c r="B42" s="63">
        <v>0.007931216002807478</v>
      </c>
      <c r="C42" s="63">
        <v>-0.01645609937360651</v>
      </c>
    </row>
    <row r="43">
      <c r="A43" s="55">
        <v>42.0</v>
      </c>
      <c r="B43" s="63">
        <v>0.18055267846045484</v>
      </c>
      <c r="C43" s="63">
        <v>0.09740184084818827</v>
      </c>
    </row>
    <row r="44">
      <c r="A44" s="55">
        <v>43.0</v>
      </c>
      <c r="B44" s="63">
        <v>-0.04335935951805318</v>
      </c>
      <c r="C44" s="63">
        <v>0.04276515611711816</v>
      </c>
    </row>
    <row r="45">
      <c r="A45" s="55">
        <v>44.0</v>
      </c>
      <c r="B45" s="63">
        <v>0.05379442843419786</v>
      </c>
      <c r="C45" s="63">
        <v>-0.027183548043966402</v>
      </c>
    </row>
    <row r="46">
      <c r="A46" s="55">
        <v>45.0</v>
      </c>
      <c r="B46" s="63">
        <v>-0.09151963574274333</v>
      </c>
      <c r="C46" s="63">
        <v>-0.09216738197424897</v>
      </c>
    </row>
    <row r="47">
      <c r="A47" s="55">
        <v>46.0</v>
      </c>
      <c r="B47" s="63">
        <v>0.059667886293273305</v>
      </c>
      <c r="C47" s="63">
        <v>-0.042924625179708284</v>
      </c>
    </row>
    <row r="48">
      <c r="A48" s="55">
        <v>47.0</v>
      </c>
      <c r="B48" s="63">
        <v>-0.0050804064325145285</v>
      </c>
      <c r="C48" s="63">
        <v>-0.05474665113570181</v>
      </c>
    </row>
    <row r="49">
      <c r="A49" s="55">
        <v>48.0</v>
      </c>
      <c r="B49" s="63">
        <v>-0.04831156965013144</v>
      </c>
      <c r="C49" s="63">
        <v>-0.011703760552570979</v>
      </c>
    </row>
    <row r="50">
      <c r="A50" s="55">
        <v>49.0</v>
      </c>
      <c r="B50" s="63">
        <v>-0.1034541606935627</v>
      </c>
      <c r="C50" s="63">
        <v>0.03649199562493787</v>
      </c>
    </row>
    <row r="51">
      <c r="A51" s="55">
        <v>50.0</v>
      </c>
      <c r="B51" s="63">
        <v>-0.13268206039076375</v>
      </c>
      <c r="C51" s="63">
        <v>0.04586106489184689</v>
      </c>
    </row>
    <row r="52">
      <c r="A52" s="55">
        <v>51.0</v>
      </c>
      <c r="B52" s="63">
        <v>-0.050696942446043065</v>
      </c>
      <c r="C52" s="63">
        <v>-0.01161475999588868</v>
      </c>
    </row>
    <row r="53">
      <c r="A53" s="55">
        <v>52.0</v>
      </c>
      <c r="B53" s="63">
        <v>-0.015983629224047426</v>
      </c>
      <c r="C53" s="63">
        <v>0.07419675389201738</v>
      </c>
    </row>
  </sheetData>
  <hyperlinks>
    <hyperlink r:id="rId1" ref="C1"/>
    <hyperlink r:id="rId2" ref="G1"/>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21.88"/>
  </cols>
  <sheetData>
    <row r="1">
      <c r="A1" s="75" t="s">
        <v>33</v>
      </c>
      <c r="B1" s="75" t="s">
        <v>34</v>
      </c>
      <c r="C1" s="76" t="s">
        <v>35</v>
      </c>
      <c r="D1" s="77" t="s">
        <v>36</v>
      </c>
      <c r="E1" s="77" t="s">
        <v>37</v>
      </c>
      <c r="F1" s="78" t="s">
        <v>38</v>
      </c>
      <c r="H1" s="79"/>
      <c r="I1" s="33" t="s">
        <v>10</v>
      </c>
      <c r="J1" s="34" t="s">
        <v>11</v>
      </c>
      <c r="L1" s="80"/>
      <c r="M1" s="80"/>
    </row>
    <row r="2">
      <c r="A2" s="55">
        <v>1.0</v>
      </c>
      <c r="B2" s="63">
        <v>-0.01998094839803913</v>
      </c>
      <c r="C2" s="63">
        <v>0.0019436345966957105</v>
      </c>
      <c r="D2" s="51">
        <f t="shared" ref="D2:E2" si="1">B2-AVERAGE(B:B)</f>
        <v>-0.025137558</v>
      </c>
      <c r="E2" s="51">
        <f t="shared" si="1"/>
        <v>-0.001709941685</v>
      </c>
      <c r="F2" s="81">
        <f t="shared" ref="F2:F53" si="3">D2*E2</f>
        <v>0.00004298375829</v>
      </c>
      <c r="H2" s="82" t="s">
        <v>39</v>
      </c>
      <c r="I2" s="83">
        <f>_xlfn.COVARIANCE.S(B:B,C:C)</f>
        <v>0.0005177855241</v>
      </c>
      <c r="J2" s="83"/>
      <c r="L2" s="84"/>
      <c r="M2" s="84"/>
    </row>
    <row r="3">
      <c r="A3" s="55">
        <v>2.0</v>
      </c>
      <c r="B3" s="63">
        <v>-0.04153119850354068</v>
      </c>
      <c r="C3" s="63">
        <v>-0.02464454976303312</v>
      </c>
      <c r="D3" s="51">
        <f t="shared" ref="D3:E3" si="2">B3-AVERAGE(B:B)</f>
        <v>-0.0466878081</v>
      </c>
      <c r="E3" s="51">
        <f t="shared" si="2"/>
        <v>-0.02829812605</v>
      </c>
      <c r="F3" s="81">
        <f t="shared" si="3"/>
        <v>0.001321177478</v>
      </c>
      <c r="H3" s="82" t="s">
        <v>40</v>
      </c>
      <c r="I3" s="82">
        <f>CORREL(B:B,C:C)</f>
        <v>0.1579683531</v>
      </c>
      <c r="J3" s="85"/>
      <c r="L3" s="84"/>
      <c r="M3" s="84"/>
    </row>
    <row r="4">
      <c r="A4" s="55">
        <v>3.0</v>
      </c>
      <c r="B4" s="63">
        <v>0.026422857142857147</v>
      </c>
      <c r="C4" s="63">
        <v>0.04352126607319492</v>
      </c>
      <c r="D4" s="51">
        <f t="shared" ref="D4:E4" si="4">B4-AVERAGE(B:B)</f>
        <v>0.02126624754</v>
      </c>
      <c r="E4" s="51">
        <f t="shared" si="4"/>
        <v>0.03986768979</v>
      </c>
      <c r="F4" s="81">
        <f t="shared" si="3"/>
        <v>0.0008478361601</v>
      </c>
      <c r="H4" s="85"/>
      <c r="I4" s="85"/>
      <c r="J4" s="85"/>
      <c r="L4" s="84"/>
      <c r="M4" s="84"/>
    </row>
    <row r="5">
      <c r="A5" s="55">
        <v>4.0</v>
      </c>
      <c r="B5" s="63">
        <v>-0.016876025257859355</v>
      </c>
      <c r="C5" s="63">
        <v>-0.03622497616777894</v>
      </c>
      <c r="D5" s="51">
        <f t="shared" ref="D5:E5" si="5">B5-AVERAGE(B:B)</f>
        <v>-0.02203263486</v>
      </c>
      <c r="E5" s="51">
        <f t="shared" si="5"/>
        <v>-0.03987855245</v>
      </c>
      <c r="F5" s="81">
        <f t="shared" si="3"/>
        <v>0.0008786295847</v>
      </c>
      <c r="H5" s="82" t="s">
        <v>41</v>
      </c>
      <c r="I5" s="83">
        <f>SUM(F:F)/51</f>
        <v>0.0005177855241</v>
      </c>
      <c r="J5" s="83"/>
      <c r="L5" s="84"/>
      <c r="M5" s="84"/>
    </row>
    <row r="6">
      <c r="A6" s="55">
        <v>5.0</v>
      </c>
      <c r="B6" s="63">
        <v>0.015842216997283533</v>
      </c>
      <c r="C6" s="63">
        <v>-0.024186046511627854</v>
      </c>
      <c r="D6" s="51">
        <f t="shared" ref="D6:E6" si="6">B6-AVERAGE(B:B)</f>
        <v>0.0106856074</v>
      </c>
      <c r="E6" s="51">
        <f t="shared" si="6"/>
        <v>-0.02783962279</v>
      </c>
      <c r="F6" s="81">
        <f t="shared" si="3"/>
        <v>-0.0002974832793</v>
      </c>
      <c r="H6" s="82" t="s">
        <v>42</v>
      </c>
      <c r="I6" s="82">
        <f t="shared" ref="I6:J6" si="7">_xlfn.STDEV.S(B:B)</f>
        <v>0.06731962559</v>
      </c>
      <c r="J6" s="82">
        <f t="shared" si="7"/>
        <v>0.04868981477</v>
      </c>
      <c r="L6" s="84"/>
      <c r="M6" s="84"/>
    </row>
    <row r="7">
      <c r="A7" s="55">
        <v>6.0</v>
      </c>
      <c r="B7" s="63">
        <v>-0.07811612197226374</v>
      </c>
      <c r="C7" s="63">
        <v>0.02969348659003826</v>
      </c>
      <c r="D7" s="51">
        <f t="shared" ref="D7:E7" si="8">B7-AVERAGE(B:B)</f>
        <v>-0.08327273157</v>
      </c>
      <c r="E7" s="51">
        <f t="shared" si="8"/>
        <v>0.02603991031</v>
      </c>
      <c r="F7" s="81">
        <f t="shared" si="3"/>
        <v>-0.002168414461</v>
      </c>
      <c r="L7" s="84"/>
      <c r="M7" s="84"/>
    </row>
    <row r="8">
      <c r="A8" s="55">
        <v>7.0</v>
      </c>
      <c r="B8" s="63">
        <v>-0.012489609310058169</v>
      </c>
      <c r="C8" s="63">
        <v>-0.0057142857142856605</v>
      </c>
      <c r="D8" s="51">
        <f t="shared" ref="D8:E8" si="9">B8-AVERAGE(B:B)</f>
        <v>-0.01764621891</v>
      </c>
      <c r="E8" s="51">
        <f t="shared" si="9"/>
        <v>-0.009367861996</v>
      </c>
      <c r="F8" s="81">
        <f t="shared" si="3"/>
        <v>0.0001653073435</v>
      </c>
      <c r="L8" s="84"/>
      <c r="M8" s="84"/>
    </row>
    <row r="9">
      <c r="A9" s="55">
        <v>8.0</v>
      </c>
      <c r="B9" s="63">
        <v>0.04845738190692001</v>
      </c>
      <c r="C9" s="63">
        <v>-0.040219378427787986</v>
      </c>
      <c r="D9" s="51">
        <f t="shared" ref="D9:E9" si="10">B9-AVERAGE(B:B)</f>
        <v>0.04330077231</v>
      </c>
      <c r="E9" s="51">
        <f t="shared" si="10"/>
        <v>-0.04387295471</v>
      </c>
      <c r="F9" s="81">
        <f t="shared" si="3"/>
        <v>-0.001899732822</v>
      </c>
      <c r="L9" s="84"/>
      <c r="M9" s="84"/>
    </row>
    <row r="10">
      <c r="A10" s="55">
        <v>9.0</v>
      </c>
      <c r="B10" s="63">
        <v>0.008703296703296658</v>
      </c>
      <c r="C10" s="63">
        <v>0.01015697137580802</v>
      </c>
      <c r="D10" s="51">
        <f t="shared" ref="D10:E10" si="11">B10-AVERAGE(B:B)</f>
        <v>0.003546687105</v>
      </c>
      <c r="E10" s="51">
        <f t="shared" si="11"/>
        <v>0.006503395094</v>
      </c>
      <c r="F10" s="81">
        <f t="shared" si="3"/>
        <v>0.00002306550752</v>
      </c>
      <c r="L10" s="84"/>
      <c r="M10" s="84"/>
    </row>
    <row r="11">
      <c r="A11" s="55">
        <v>10.0</v>
      </c>
      <c r="B11" s="63">
        <v>0.05772136597159259</v>
      </c>
      <c r="C11" s="63">
        <v>0.08844221105527636</v>
      </c>
      <c r="D11" s="51">
        <f t="shared" ref="D11:E11" si="12">B11-AVERAGE(B:B)</f>
        <v>0.05256475637</v>
      </c>
      <c r="E11" s="51">
        <f t="shared" si="12"/>
        <v>0.08478863477</v>
      </c>
      <c r="F11" s="81">
        <f t="shared" si="3"/>
        <v>0.00445689393</v>
      </c>
      <c r="L11" s="84"/>
      <c r="M11" s="84"/>
    </row>
    <row r="12">
      <c r="A12" s="55">
        <v>11.0</v>
      </c>
      <c r="B12" s="63">
        <v>0.09992584827021925</v>
      </c>
      <c r="C12" s="63">
        <v>0.03484139365574617</v>
      </c>
      <c r="D12" s="51">
        <f t="shared" ref="D12:E12" si="13">B12-AVERAGE(B:B)</f>
        <v>0.09476923867</v>
      </c>
      <c r="E12" s="51">
        <f t="shared" si="13"/>
        <v>0.03118781737</v>
      </c>
      <c r="F12" s="81">
        <f t="shared" si="3"/>
        <v>0.002955645708</v>
      </c>
      <c r="L12" s="84"/>
      <c r="M12" s="84"/>
    </row>
    <row r="13">
      <c r="A13" s="55">
        <v>12.0</v>
      </c>
      <c r="B13" s="63">
        <v>-0.032793372078644856</v>
      </c>
      <c r="C13" s="63">
        <v>-0.035122930255895635</v>
      </c>
      <c r="D13" s="51">
        <f t="shared" ref="D13:E13" si="14">B13-AVERAGE(B:B)</f>
        <v>-0.03794998168</v>
      </c>
      <c r="E13" s="51">
        <f t="shared" si="14"/>
        <v>-0.03877650654</v>
      </c>
      <c r="F13" s="81">
        <f t="shared" si="3"/>
        <v>0.001471567713</v>
      </c>
      <c r="L13" s="84"/>
      <c r="M13" s="84"/>
    </row>
    <row r="14">
      <c r="A14" s="55">
        <v>13.0</v>
      </c>
      <c r="B14" s="63">
        <v>-0.05860029800707758</v>
      </c>
      <c r="C14" s="63">
        <v>0.05060622034791789</v>
      </c>
      <c r="D14" s="51">
        <f t="shared" ref="D14:E14" si="15">B14-AVERAGE(B:B)</f>
        <v>-0.06375690761</v>
      </c>
      <c r="E14" s="51">
        <f t="shared" si="15"/>
        <v>0.04695264407</v>
      </c>
      <c r="F14" s="81">
        <f t="shared" si="3"/>
        <v>-0.00299355539</v>
      </c>
      <c r="L14" s="84"/>
      <c r="M14" s="84"/>
    </row>
    <row r="15">
      <c r="A15" s="55">
        <v>14.0</v>
      </c>
      <c r="B15" s="63">
        <v>-0.05922551252847385</v>
      </c>
      <c r="C15" s="63">
        <v>0.03831417624521073</v>
      </c>
      <c r="D15" s="51">
        <f t="shared" ref="D15:E15" si="16">B15-AVERAGE(B:B)</f>
        <v>-0.06438212213</v>
      </c>
      <c r="E15" s="51">
        <f t="shared" si="16"/>
        <v>0.03466059996</v>
      </c>
      <c r="F15" s="81">
        <f t="shared" si="3"/>
        <v>-0.00223152298</v>
      </c>
      <c r="L15" s="84"/>
      <c r="M15" s="84"/>
    </row>
    <row r="16">
      <c r="A16" s="55">
        <v>15.0</v>
      </c>
      <c r="B16" s="63">
        <v>0.05266070275753937</v>
      </c>
      <c r="C16" s="63">
        <v>-0.0010934937124112468</v>
      </c>
      <c r="D16" s="51">
        <f t="shared" ref="D16:E16" si="17">B16-AVERAGE(B:B)</f>
        <v>0.04750409316</v>
      </c>
      <c r="E16" s="51">
        <f t="shared" si="17"/>
        <v>-0.004747069994</v>
      </c>
      <c r="F16" s="81">
        <f t="shared" si="3"/>
        <v>-0.0002255052552</v>
      </c>
      <c r="L16" s="84"/>
      <c r="M16" s="84"/>
    </row>
    <row r="17">
      <c r="A17" s="55">
        <v>16.0</v>
      </c>
      <c r="B17" s="63">
        <v>-0.012724499783751736</v>
      </c>
      <c r="C17" s="63">
        <v>-0.01135135135135132</v>
      </c>
      <c r="D17" s="51">
        <f t="shared" ref="D17:E17" si="18">B17-AVERAGE(B:B)</f>
        <v>-0.01788110938</v>
      </c>
      <c r="E17" s="51">
        <f t="shared" si="18"/>
        <v>-0.01500492763</v>
      </c>
      <c r="F17" s="81">
        <f t="shared" si="3"/>
        <v>0.0002683047523</v>
      </c>
      <c r="L17" s="84"/>
      <c r="M17" s="84"/>
    </row>
    <row r="18">
      <c r="A18" s="55">
        <v>17.0</v>
      </c>
      <c r="B18" s="63">
        <v>0.062444073617257956</v>
      </c>
      <c r="C18" s="63">
        <v>0.01816180517336275</v>
      </c>
      <c r="D18" s="51">
        <f t="shared" ref="D18:E18" si="19">B18-AVERAGE(B:B)</f>
        <v>0.05728746402</v>
      </c>
      <c r="E18" s="51">
        <f t="shared" si="19"/>
        <v>0.01450822889</v>
      </c>
      <c r="F18" s="81">
        <f t="shared" si="3"/>
        <v>0.0008311396406</v>
      </c>
      <c r="L18" s="84"/>
      <c r="M18" s="84"/>
    </row>
    <row r="19">
      <c r="A19" s="55">
        <v>18.0</v>
      </c>
      <c r="B19" s="63">
        <v>-0.038015029197589686</v>
      </c>
      <c r="C19" s="63">
        <v>-0.03556263269639075</v>
      </c>
      <c r="D19" s="51">
        <f t="shared" ref="D19:E19" si="20">B19-AVERAGE(B:B)</f>
        <v>-0.0431716388</v>
      </c>
      <c r="E19" s="51">
        <f t="shared" si="20"/>
        <v>-0.03921620898</v>
      </c>
      <c r="F19" s="81">
        <f t="shared" si="3"/>
        <v>0.001693028009</v>
      </c>
      <c r="L19" s="84"/>
      <c r="M19" s="84"/>
    </row>
    <row r="20">
      <c r="A20" s="55">
        <v>19.0</v>
      </c>
      <c r="B20" s="63">
        <v>-0.02400090826521343</v>
      </c>
      <c r="C20" s="63">
        <v>0.017278617710583248</v>
      </c>
      <c r="D20" s="51">
        <f t="shared" ref="D20:E20" si="21">B20-AVERAGE(B:B)</f>
        <v>-0.02915751786</v>
      </c>
      <c r="E20" s="51">
        <f t="shared" si="21"/>
        <v>0.01362504143</v>
      </c>
      <c r="F20" s="81">
        <f t="shared" si="3"/>
        <v>-0.0003972723888</v>
      </c>
      <c r="L20" s="84"/>
      <c r="M20" s="84"/>
    </row>
    <row r="21">
      <c r="A21" s="55">
        <v>20.0</v>
      </c>
      <c r="B21" s="63">
        <v>0.03363297110803386</v>
      </c>
      <c r="C21" s="63">
        <v>-0.057985757884028516</v>
      </c>
      <c r="D21" s="51">
        <f t="shared" ref="D21:E21" si="22">B21-AVERAGE(B:B)</f>
        <v>0.02847636151</v>
      </c>
      <c r="E21" s="51">
        <f t="shared" si="22"/>
        <v>-0.06163933417</v>
      </c>
      <c r="F21" s="81">
        <f t="shared" si="3"/>
        <v>-0.001755263963</v>
      </c>
      <c r="L21" s="84"/>
      <c r="M21" s="84"/>
    </row>
    <row r="22">
      <c r="A22" s="55">
        <v>21.0</v>
      </c>
      <c r="B22" s="63">
        <v>0.07609738849320603</v>
      </c>
      <c r="C22" s="63">
        <v>-0.047480620155038816</v>
      </c>
      <c r="D22" s="51">
        <f t="shared" ref="D22:E22" si="23">B22-AVERAGE(B:B)</f>
        <v>0.07094077889</v>
      </c>
      <c r="E22" s="51">
        <f t="shared" si="23"/>
        <v>-0.05113419644</v>
      </c>
      <c r="F22" s="81">
        <f t="shared" si="3"/>
        <v>-0.003627499723</v>
      </c>
      <c r="L22" s="84"/>
      <c r="M22" s="84"/>
    </row>
    <row r="23">
      <c r="A23" s="55">
        <v>22.0</v>
      </c>
      <c r="B23" s="63">
        <v>0.12854862615437243</v>
      </c>
      <c r="C23" s="63">
        <v>0.0177514792899408</v>
      </c>
      <c r="D23" s="51">
        <f t="shared" ref="D23:E23" si="24">B23-AVERAGE(B:B)</f>
        <v>0.1233920166</v>
      </c>
      <c r="E23" s="51">
        <f t="shared" si="24"/>
        <v>0.01409790301</v>
      </c>
      <c r="F23" s="81">
        <f t="shared" si="3"/>
        <v>0.001739568681</v>
      </c>
      <c r="L23" s="84"/>
      <c r="M23" s="84"/>
    </row>
    <row r="24">
      <c r="A24" s="55">
        <v>23.0</v>
      </c>
      <c r="B24" s="63">
        <v>0.05082816665169069</v>
      </c>
      <c r="C24" s="63">
        <v>-0.00782778864970643</v>
      </c>
      <c r="D24" s="51">
        <f t="shared" ref="D24:E24" si="25">B24-AVERAGE(B:B)</f>
        <v>0.04567155705</v>
      </c>
      <c r="E24" s="51">
        <f t="shared" si="25"/>
        <v>-0.01148136493</v>
      </c>
      <c r="F24" s="81">
        <f t="shared" si="3"/>
        <v>-0.0005243718135</v>
      </c>
      <c r="L24" s="84"/>
      <c r="M24" s="84"/>
    </row>
    <row r="25">
      <c r="A25" s="55">
        <v>24.0</v>
      </c>
      <c r="B25" s="63">
        <v>-0.018058292403164575</v>
      </c>
      <c r="C25" s="63">
        <v>-0.02666666666666664</v>
      </c>
      <c r="D25" s="51">
        <f t="shared" ref="D25:E25" si="26">B25-AVERAGE(B:B)</f>
        <v>-0.023214902</v>
      </c>
      <c r="E25" s="51">
        <f t="shared" si="26"/>
        <v>-0.03032024295</v>
      </c>
      <c r="F25" s="81">
        <f t="shared" si="3"/>
        <v>0.0007038814687</v>
      </c>
      <c r="L25" s="84"/>
      <c r="M25" s="84"/>
    </row>
    <row r="26">
      <c r="A26" s="55">
        <v>25.0</v>
      </c>
      <c r="B26" s="63">
        <v>0.028587850919651468</v>
      </c>
      <c r="C26" s="63">
        <v>0.029411764705882353</v>
      </c>
      <c r="D26" s="51">
        <f t="shared" ref="D26:E26" si="27">B26-AVERAGE(B:B)</f>
        <v>0.02343124132</v>
      </c>
      <c r="E26" s="51">
        <f t="shared" si="27"/>
        <v>0.02575818842</v>
      </c>
      <c r="F26" s="81">
        <f t="shared" si="3"/>
        <v>0.000603546329</v>
      </c>
      <c r="L26" s="84"/>
      <c r="M26" s="84"/>
    </row>
    <row r="27">
      <c r="A27" s="55">
        <v>26.0</v>
      </c>
      <c r="B27" s="63">
        <v>0.0027605035643865467</v>
      </c>
      <c r="C27" s="63">
        <v>0.044012282497441116</v>
      </c>
      <c r="D27" s="51">
        <f t="shared" ref="D27:E27" si="28">B27-AVERAGE(B:B)</f>
        <v>-0.002396106034</v>
      </c>
      <c r="E27" s="51">
        <f t="shared" si="28"/>
        <v>0.04035870622</v>
      </c>
      <c r="F27" s="81">
        <f t="shared" si="3"/>
        <v>-0.0000967037395</v>
      </c>
      <c r="L27" s="84"/>
      <c r="M27" s="84"/>
    </row>
    <row r="28">
      <c r="A28" s="55">
        <v>27.0</v>
      </c>
      <c r="B28" s="63">
        <v>0.08928394409014302</v>
      </c>
      <c r="C28" s="63">
        <v>0.06951286261631098</v>
      </c>
      <c r="D28" s="51">
        <f t="shared" ref="D28:E28" si="29">B28-AVERAGE(B:B)</f>
        <v>0.08412733449</v>
      </c>
      <c r="E28" s="51">
        <f t="shared" si="29"/>
        <v>0.06585928633</v>
      </c>
      <c r="F28" s="81">
        <f t="shared" si="3"/>
        <v>0.005540566211</v>
      </c>
      <c r="L28" s="84"/>
      <c r="M28" s="84"/>
    </row>
    <row r="29">
      <c r="A29" s="55">
        <v>28.0</v>
      </c>
      <c r="B29" s="63">
        <v>-0.04249193191166237</v>
      </c>
      <c r="C29" s="63">
        <v>-0.1087804878048781</v>
      </c>
      <c r="D29" s="51">
        <f t="shared" ref="D29:E29" si="30">B29-AVERAGE(B:B)</f>
        <v>-0.04764854151</v>
      </c>
      <c r="E29" s="51">
        <f t="shared" si="30"/>
        <v>-0.1124340641</v>
      </c>
      <c r="F29" s="81">
        <f t="shared" si="3"/>
        <v>0.00535731917</v>
      </c>
      <c r="L29" s="84"/>
      <c r="M29" s="84"/>
    </row>
    <row r="30">
      <c r="A30" s="55">
        <v>29.0</v>
      </c>
      <c r="B30" s="63">
        <v>-0.0412255422417715</v>
      </c>
      <c r="C30" s="63">
        <v>0.11050920910075843</v>
      </c>
      <c r="D30" s="51">
        <f t="shared" ref="D30:E30" si="31">B30-AVERAGE(B:B)</f>
        <v>-0.04638215184</v>
      </c>
      <c r="E30" s="51">
        <f t="shared" si="31"/>
        <v>0.1068556328</v>
      </c>
      <c r="F30" s="81">
        <f t="shared" si="3"/>
        <v>-0.004956194186</v>
      </c>
      <c r="L30" s="84"/>
      <c r="M30" s="84"/>
    </row>
    <row r="31">
      <c r="A31" s="55">
        <v>30.0</v>
      </c>
      <c r="B31" s="63">
        <v>0.05148161143185221</v>
      </c>
      <c r="C31" s="63">
        <v>-0.053333333333333365</v>
      </c>
      <c r="D31" s="51">
        <f t="shared" ref="D31:E31" si="32">B31-AVERAGE(B:B)</f>
        <v>0.04632500183</v>
      </c>
      <c r="E31" s="51">
        <f t="shared" si="32"/>
        <v>-0.05698690962</v>
      </c>
      <c r="F31" s="81">
        <f t="shared" si="3"/>
        <v>-0.002639918692</v>
      </c>
      <c r="L31" s="84"/>
      <c r="M31" s="84"/>
    </row>
    <row r="32">
      <c r="A32" s="55">
        <v>31.0</v>
      </c>
      <c r="B32" s="63">
        <v>-0.0058347867448867346</v>
      </c>
      <c r="C32" s="63">
        <v>0.05519480519480513</v>
      </c>
      <c r="D32" s="51">
        <f t="shared" ref="D32:E32" si="33">B32-AVERAGE(B:B)</f>
        <v>-0.01099139634</v>
      </c>
      <c r="E32" s="51">
        <f t="shared" si="33"/>
        <v>0.05154122891</v>
      </c>
      <c r="F32" s="81">
        <f t="shared" si="3"/>
        <v>-0.000566510075</v>
      </c>
      <c r="L32" s="84"/>
      <c r="M32" s="84"/>
    </row>
    <row r="33">
      <c r="A33" s="55">
        <v>32.0</v>
      </c>
      <c r="B33" s="63">
        <v>-0.025584772734295252</v>
      </c>
      <c r="C33" s="63">
        <v>-0.013347570742124932</v>
      </c>
      <c r="D33" s="51">
        <f t="shared" ref="D33:E33" si="34">B33-AVERAGE(B:B)</f>
        <v>-0.03074138233</v>
      </c>
      <c r="E33" s="51">
        <f t="shared" si="34"/>
        <v>-0.01700114702</v>
      </c>
      <c r="F33" s="81">
        <f t="shared" si="3"/>
        <v>0.0005226387608</v>
      </c>
      <c r="L33" s="84"/>
      <c r="M33" s="84"/>
    </row>
    <row r="34">
      <c r="A34" s="55">
        <v>33.0</v>
      </c>
      <c r="B34" s="63">
        <v>0.004562950086913243</v>
      </c>
      <c r="C34" s="63">
        <v>0.05461711711711721</v>
      </c>
      <c r="D34" s="51">
        <f t="shared" ref="D34:E34" si="35">B34-AVERAGE(B:B)</f>
        <v>-0.0005936595117</v>
      </c>
      <c r="E34" s="51">
        <f t="shared" si="35"/>
        <v>0.05096354084</v>
      </c>
      <c r="F34" s="81">
        <f t="shared" si="3"/>
        <v>-0.00003025499077</v>
      </c>
      <c r="L34" s="84"/>
      <c r="M34" s="84"/>
    </row>
    <row r="35">
      <c r="A35" s="55">
        <v>34.0</v>
      </c>
      <c r="B35" s="63">
        <v>-0.009683071531769626</v>
      </c>
      <c r="C35" s="63">
        <v>-0.01769911504424788</v>
      </c>
      <c r="D35" s="51">
        <f t="shared" ref="D35:E35" si="36">B35-AVERAGE(B:B)</f>
        <v>-0.01483968113</v>
      </c>
      <c r="E35" s="51">
        <f t="shared" si="36"/>
        <v>-0.02135269133</v>
      </c>
      <c r="F35" s="81">
        <f t="shared" si="3"/>
        <v>0.0003168671306</v>
      </c>
      <c r="L35" s="84"/>
      <c r="M35" s="84"/>
    </row>
    <row r="36">
      <c r="A36" s="55">
        <v>35.0</v>
      </c>
      <c r="B36" s="63">
        <v>0.10222267398522741</v>
      </c>
      <c r="C36" s="63">
        <v>-0.03004291845493559</v>
      </c>
      <c r="D36" s="51">
        <f t="shared" ref="D36:E36" si="37">B36-AVERAGE(B:B)</f>
        <v>0.09706606439</v>
      </c>
      <c r="E36" s="51">
        <f t="shared" si="37"/>
        <v>-0.03369649474</v>
      </c>
      <c r="F36" s="81">
        <f t="shared" si="3"/>
        <v>-0.003270786128</v>
      </c>
      <c r="L36" s="84"/>
      <c r="M36" s="84"/>
    </row>
    <row r="37">
      <c r="A37" s="55">
        <v>36.0</v>
      </c>
      <c r="B37" s="63">
        <v>-0.14812676788085202</v>
      </c>
      <c r="C37" s="63">
        <v>-0.039175257731958735</v>
      </c>
      <c r="D37" s="51">
        <f t="shared" ref="D37:E37" si="38">B37-AVERAGE(B:B)</f>
        <v>-0.1532833775</v>
      </c>
      <c r="E37" s="51">
        <f t="shared" si="38"/>
        <v>-0.04282883401</v>
      </c>
      <c r="F37" s="81">
        <f t="shared" si="3"/>
        <v>0.006564948331</v>
      </c>
      <c r="L37" s="84"/>
      <c r="M37" s="84"/>
    </row>
    <row r="38">
      <c r="A38" s="55">
        <v>37.0</v>
      </c>
      <c r="B38" s="63">
        <v>0.020981906052926283</v>
      </c>
      <c r="C38" s="63">
        <v>0.07933681985089569</v>
      </c>
      <c r="D38" s="51">
        <f t="shared" ref="D38:E38" si="39">B38-AVERAGE(B:B)</f>
        <v>0.01582529645</v>
      </c>
      <c r="E38" s="51">
        <f t="shared" si="39"/>
        <v>0.07568324357</v>
      </c>
      <c r="F38" s="81">
        <f t="shared" si="3"/>
        <v>0.001197709766</v>
      </c>
      <c r="L38" s="84"/>
      <c r="M38" s="84"/>
    </row>
    <row r="39">
      <c r="A39" s="55">
        <v>38.0</v>
      </c>
      <c r="B39" s="63">
        <v>-0.030401737242128243</v>
      </c>
      <c r="C39" s="63">
        <v>-0.07445932028836241</v>
      </c>
      <c r="D39" s="51">
        <f t="shared" ref="D39:E39" si="40">B39-AVERAGE(B:B)</f>
        <v>-0.03555834684</v>
      </c>
      <c r="E39" s="51">
        <f t="shared" si="40"/>
        <v>-0.07811289657</v>
      </c>
      <c r="F39" s="81">
        <f t="shared" si="3"/>
        <v>0.002777565469</v>
      </c>
      <c r="L39" s="84"/>
      <c r="M39" s="84"/>
    </row>
    <row r="40">
      <c r="A40" s="55">
        <v>39.0</v>
      </c>
      <c r="B40" s="63">
        <v>0.17340575336954345</v>
      </c>
      <c r="C40" s="63">
        <v>0.01367574903434584</v>
      </c>
      <c r="D40" s="51">
        <f t="shared" ref="D40:E40" si="41">B40-AVERAGE(B:B)</f>
        <v>0.1682491438</v>
      </c>
      <c r="E40" s="51">
        <f t="shared" si="41"/>
        <v>0.01002217275</v>
      </c>
      <c r="F40" s="81">
        <f t="shared" si="3"/>
        <v>0.001686221984</v>
      </c>
      <c r="L40" s="84"/>
      <c r="M40" s="84"/>
    </row>
    <row r="41">
      <c r="A41" s="55">
        <v>40.0</v>
      </c>
      <c r="B41" s="63">
        <v>0.03847359075241117</v>
      </c>
      <c r="C41" s="63">
        <v>0.03400259067357519</v>
      </c>
      <c r="D41" s="51">
        <f t="shared" ref="D41:E41" si="42">B41-AVERAGE(B:B)</f>
        <v>0.03331698115</v>
      </c>
      <c r="E41" s="51">
        <f t="shared" si="42"/>
        <v>0.03034901439</v>
      </c>
      <c r="F41" s="81">
        <f t="shared" si="3"/>
        <v>0.001011137541</v>
      </c>
      <c r="L41" s="84"/>
      <c r="M41" s="84"/>
    </row>
    <row r="42">
      <c r="A42" s="55">
        <v>41.0</v>
      </c>
      <c r="B42" s="63">
        <v>0.007931216002807478</v>
      </c>
      <c r="C42" s="63">
        <v>-0.01645609937360651</v>
      </c>
      <c r="D42" s="51">
        <f t="shared" ref="D42:E42" si="43">B42-AVERAGE(B:B)</f>
        <v>0.002774606404</v>
      </c>
      <c r="E42" s="51">
        <f t="shared" si="43"/>
        <v>-0.02010967566</v>
      </c>
      <c r="F42" s="81">
        <f t="shared" si="3"/>
        <v>-0.00005579643486</v>
      </c>
      <c r="L42" s="84"/>
      <c r="M42" s="84"/>
    </row>
    <row r="43">
      <c r="A43" s="55">
        <v>42.0</v>
      </c>
      <c r="B43" s="63">
        <v>0.18055267846045484</v>
      </c>
      <c r="C43" s="63">
        <v>0.09740184084818827</v>
      </c>
      <c r="D43" s="51">
        <f t="shared" ref="D43:E43" si="44">B43-AVERAGE(B:B)</f>
        <v>0.1753960689</v>
      </c>
      <c r="E43" s="51">
        <f t="shared" si="44"/>
        <v>0.09374826457</v>
      </c>
      <c r="F43" s="81">
        <f t="shared" si="3"/>
        <v>0.01644307707</v>
      </c>
      <c r="L43" s="84"/>
      <c r="M43" s="84"/>
    </row>
    <row r="44">
      <c r="A44" s="55">
        <v>43.0</v>
      </c>
      <c r="B44" s="63">
        <v>-0.04335935951805318</v>
      </c>
      <c r="C44" s="63">
        <v>0.04276515611711816</v>
      </c>
      <c r="D44" s="51">
        <f t="shared" ref="D44:E44" si="45">B44-AVERAGE(B:B)</f>
        <v>-0.04851596912</v>
      </c>
      <c r="E44" s="51">
        <f t="shared" si="45"/>
        <v>0.03911157984</v>
      </c>
      <c r="F44" s="81">
        <f t="shared" si="3"/>
        <v>-0.001897536199</v>
      </c>
      <c r="L44" s="84"/>
      <c r="M44" s="84"/>
    </row>
    <row r="45">
      <c r="A45" s="55">
        <v>44.0</v>
      </c>
      <c r="B45" s="63">
        <v>0.05379442843419786</v>
      </c>
      <c r="C45" s="63">
        <v>-0.027183548043966402</v>
      </c>
      <c r="D45" s="51">
        <f t="shared" ref="D45:E45" si="46">B45-AVERAGE(B:B)</f>
        <v>0.04863781884</v>
      </c>
      <c r="E45" s="51">
        <f t="shared" si="46"/>
        <v>-0.03083712433</v>
      </c>
      <c r="F45" s="81">
        <f t="shared" si="3"/>
        <v>-0.001499850466</v>
      </c>
      <c r="L45" s="84"/>
      <c r="M45" s="84"/>
    </row>
    <row r="46">
      <c r="A46" s="55">
        <v>45.0</v>
      </c>
      <c r="B46" s="63">
        <v>-0.09151963574274333</v>
      </c>
      <c r="C46" s="63">
        <v>-0.09216738197424897</v>
      </c>
      <c r="D46" s="51">
        <f t="shared" ref="D46:E46" si="47">B46-AVERAGE(B:B)</f>
        <v>-0.09667624534</v>
      </c>
      <c r="E46" s="51">
        <f t="shared" si="47"/>
        <v>-0.09582095826</v>
      </c>
      <c r="F46" s="81">
        <f t="shared" si="3"/>
        <v>0.009263610469</v>
      </c>
      <c r="L46" s="84"/>
      <c r="M46" s="84"/>
    </row>
    <row r="47">
      <c r="A47" s="55">
        <v>46.0</v>
      </c>
      <c r="B47" s="63">
        <v>0.059667886293273305</v>
      </c>
      <c r="C47" s="63">
        <v>-0.042924625179708284</v>
      </c>
      <c r="D47" s="51">
        <f t="shared" ref="D47:E47" si="48">B47-AVERAGE(B:B)</f>
        <v>0.05451127669</v>
      </c>
      <c r="E47" s="51">
        <f t="shared" si="48"/>
        <v>-0.04657820146</v>
      </c>
      <c r="F47" s="81">
        <f t="shared" si="3"/>
        <v>-0.002539037228</v>
      </c>
      <c r="L47" s="84"/>
      <c r="M47" s="84"/>
    </row>
    <row r="48">
      <c r="A48" s="55">
        <v>47.0</v>
      </c>
      <c r="B48" s="63">
        <v>-0.0050804064325145285</v>
      </c>
      <c r="C48" s="63">
        <v>-0.05474665113570181</v>
      </c>
      <c r="D48" s="51">
        <f t="shared" ref="D48:E48" si="49">B48-AVERAGE(B:B)</f>
        <v>-0.01023701603</v>
      </c>
      <c r="E48" s="51">
        <f t="shared" si="49"/>
        <v>-0.05840022742</v>
      </c>
      <c r="F48" s="81">
        <f t="shared" si="3"/>
        <v>0.0005978440643</v>
      </c>
      <c r="L48" s="84"/>
      <c r="M48" s="84"/>
    </row>
    <row r="49">
      <c r="A49" s="55">
        <v>48.0</v>
      </c>
      <c r="B49" s="63">
        <v>-0.04831156965013144</v>
      </c>
      <c r="C49" s="63">
        <v>-0.011703760552570979</v>
      </c>
      <c r="D49" s="51">
        <f t="shared" ref="D49:E49" si="50">B49-AVERAGE(B:B)</f>
        <v>-0.05346817925</v>
      </c>
      <c r="E49" s="51">
        <f t="shared" si="50"/>
        <v>-0.01535733683</v>
      </c>
      <c r="F49" s="81">
        <f t="shared" si="3"/>
        <v>0.0008211288387</v>
      </c>
      <c r="L49" s="84"/>
      <c r="M49" s="84"/>
    </row>
    <row r="50">
      <c r="A50" s="55">
        <v>49.0</v>
      </c>
      <c r="B50" s="63">
        <v>-0.1034541606935627</v>
      </c>
      <c r="C50" s="63">
        <v>0.03649199562493787</v>
      </c>
      <c r="D50" s="51">
        <f t="shared" ref="D50:E50" si="51">B50-AVERAGE(B:B)</f>
        <v>-0.1086107703</v>
      </c>
      <c r="E50" s="51">
        <f t="shared" si="51"/>
        <v>0.03283841934</v>
      </c>
      <c r="F50" s="81">
        <f t="shared" si="3"/>
        <v>-0.00356660602</v>
      </c>
      <c r="L50" s="84"/>
      <c r="M50" s="84"/>
    </row>
    <row r="51">
      <c r="A51" s="55">
        <v>50.0</v>
      </c>
      <c r="B51" s="63">
        <v>-0.13268206039076375</v>
      </c>
      <c r="C51" s="63">
        <v>0.04586106489184689</v>
      </c>
      <c r="D51" s="51">
        <f t="shared" ref="D51:E51" si="52">B51-AVERAGE(B:B)</f>
        <v>-0.13783867</v>
      </c>
      <c r="E51" s="51">
        <f t="shared" si="52"/>
        <v>0.04220748861</v>
      </c>
      <c r="F51" s="81">
        <f t="shared" si="3"/>
        <v>-0.005817824094</v>
      </c>
      <c r="L51" s="84"/>
      <c r="M51" s="84"/>
    </row>
    <row r="52">
      <c r="A52" s="55">
        <v>51.0</v>
      </c>
      <c r="B52" s="63">
        <v>-0.050696942446043065</v>
      </c>
      <c r="C52" s="63">
        <v>-0.01161475999588868</v>
      </c>
      <c r="D52" s="51">
        <f t="shared" ref="D52:E52" si="53">B52-AVERAGE(B:B)</f>
        <v>-0.05585355204</v>
      </c>
      <c r="E52" s="51">
        <f t="shared" si="53"/>
        <v>-0.01526833628</v>
      </c>
      <c r="F52" s="81">
        <f t="shared" si="3"/>
        <v>0.0008527908149</v>
      </c>
      <c r="L52" s="84"/>
      <c r="M52" s="84"/>
    </row>
    <row r="53">
      <c r="A53" s="55">
        <v>52.0</v>
      </c>
      <c r="B53" s="63">
        <v>-0.015983629224047426</v>
      </c>
      <c r="C53" s="63">
        <v>0.07419675389201738</v>
      </c>
      <c r="D53" s="51">
        <f t="shared" ref="D53:E53" si="54">B53-AVERAGE(B:B)</f>
        <v>-0.02114023882</v>
      </c>
      <c r="E53" s="51">
        <f t="shared" si="54"/>
        <v>0.07054317761</v>
      </c>
      <c r="F53" s="81">
        <f t="shared" si="3"/>
        <v>-0.001491299622</v>
      </c>
      <c r="L53" s="84"/>
      <c r="M53" s="84"/>
    </row>
    <row r="54">
      <c r="F54" s="86"/>
    </row>
    <row r="55">
      <c r="F55" s="86"/>
    </row>
    <row r="56">
      <c r="F56" s="86"/>
    </row>
    <row r="57">
      <c r="F57" s="86"/>
    </row>
    <row r="58">
      <c r="F58" s="86"/>
    </row>
    <row r="59">
      <c r="F59" s="86"/>
    </row>
    <row r="60">
      <c r="F60" s="86"/>
    </row>
    <row r="61">
      <c r="F61" s="86"/>
    </row>
    <row r="62">
      <c r="F62" s="86"/>
    </row>
    <row r="63">
      <c r="F63" s="86"/>
    </row>
    <row r="64">
      <c r="F64" s="86"/>
    </row>
    <row r="65">
      <c r="F65" s="86"/>
    </row>
    <row r="66">
      <c r="F66" s="86"/>
    </row>
    <row r="67">
      <c r="F67" s="86"/>
    </row>
    <row r="68">
      <c r="F68" s="86"/>
    </row>
    <row r="69">
      <c r="F69" s="86"/>
    </row>
    <row r="70">
      <c r="F70" s="86"/>
    </row>
    <row r="71">
      <c r="F71" s="86"/>
    </row>
    <row r="72">
      <c r="F72" s="86"/>
    </row>
    <row r="73">
      <c r="F73" s="86"/>
    </row>
    <row r="74">
      <c r="F74" s="86"/>
    </row>
    <row r="75">
      <c r="F75" s="86"/>
    </row>
    <row r="76">
      <c r="F76" s="86"/>
    </row>
    <row r="77">
      <c r="F77" s="86"/>
    </row>
    <row r="78">
      <c r="F78" s="86"/>
    </row>
    <row r="79">
      <c r="F79" s="86"/>
    </row>
    <row r="80">
      <c r="F80" s="86"/>
    </row>
    <row r="81">
      <c r="F81" s="86"/>
    </row>
    <row r="82">
      <c r="F82" s="86"/>
    </row>
    <row r="83">
      <c r="F83" s="86"/>
    </row>
    <row r="84">
      <c r="F84" s="86"/>
    </row>
    <row r="85">
      <c r="F85" s="86"/>
    </row>
    <row r="86">
      <c r="F86" s="86"/>
    </row>
    <row r="87">
      <c r="F87" s="86"/>
    </row>
    <row r="88">
      <c r="F88" s="86"/>
    </row>
    <row r="89">
      <c r="F89" s="86"/>
    </row>
    <row r="90">
      <c r="F90" s="86"/>
    </row>
    <row r="91">
      <c r="F91" s="86"/>
    </row>
    <row r="92">
      <c r="F92" s="86"/>
    </row>
    <row r="93">
      <c r="F93" s="86"/>
    </row>
    <row r="94">
      <c r="F94" s="86"/>
    </row>
    <row r="95">
      <c r="F95" s="86"/>
    </row>
    <row r="96">
      <c r="F96" s="86"/>
    </row>
    <row r="97">
      <c r="F97" s="86"/>
    </row>
    <row r="98">
      <c r="F98" s="86"/>
    </row>
    <row r="99">
      <c r="F99" s="86"/>
    </row>
    <row r="100">
      <c r="F100" s="86"/>
    </row>
    <row r="101">
      <c r="F101" s="86"/>
    </row>
    <row r="102">
      <c r="F102" s="86"/>
    </row>
    <row r="103">
      <c r="F103" s="86"/>
    </row>
    <row r="104">
      <c r="F104" s="86"/>
    </row>
    <row r="105">
      <c r="F105" s="86"/>
    </row>
    <row r="106">
      <c r="F106" s="86"/>
    </row>
    <row r="107">
      <c r="F107" s="86"/>
    </row>
    <row r="108">
      <c r="F108" s="86"/>
    </row>
    <row r="109">
      <c r="F109" s="86"/>
    </row>
    <row r="110">
      <c r="F110" s="86"/>
    </row>
    <row r="111">
      <c r="F111" s="86"/>
    </row>
    <row r="112">
      <c r="F112" s="86"/>
    </row>
    <row r="113">
      <c r="F113" s="86"/>
    </row>
    <row r="114">
      <c r="F114" s="86"/>
    </row>
    <row r="115">
      <c r="F115" s="86"/>
    </row>
    <row r="116">
      <c r="F116" s="86"/>
    </row>
    <row r="117">
      <c r="F117" s="86"/>
    </row>
    <row r="118">
      <c r="F118" s="86"/>
    </row>
    <row r="119">
      <c r="F119" s="86"/>
    </row>
    <row r="120">
      <c r="F120" s="86"/>
    </row>
    <row r="121">
      <c r="F121" s="86"/>
    </row>
    <row r="122">
      <c r="F122" s="86"/>
    </row>
    <row r="123">
      <c r="F123" s="86"/>
    </row>
    <row r="124">
      <c r="F124" s="86"/>
    </row>
    <row r="125">
      <c r="F125" s="86"/>
    </row>
    <row r="126">
      <c r="F126" s="86"/>
    </row>
    <row r="127">
      <c r="F127" s="86"/>
    </row>
    <row r="128">
      <c r="F128" s="86"/>
    </row>
    <row r="129">
      <c r="F129" s="86"/>
    </row>
    <row r="130">
      <c r="F130" s="86"/>
    </row>
    <row r="131">
      <c r="F131" s="86"/>
    </row>
    <row r="132">
      <c r="F132" s="86"/>
    </row>
    <row r="133">
      <c r="F133" s="86"/>
    </row>
    <row r="134">
      <c r="F134" s="86"/>
    </row>
    <row r="135">
      <c r="F135" s="86"/>
    </row>
    <row r="136">
      <c r="F136" s="86"/>
    </row>
    <row r="137">
      <c r="F137" s="86"/>
    </row>
    <row r="138">
      <c r="F138" s="86"/>
    </row>
    <row r="139">
      <c r="F139" s="86"/>
    </row>
    <row r="140">
      <c r="F140" s="86"/>
    </row>
    <row r="141">
      <c r="F141" s="86"/>
    </row>
    <row r="142">
      <c r="F142" s="86"/>
    </row>
    <row r="143">
      <c r="F143" s="86"/>
    </row>
    <row r="144">
      <c r="F144" s="86"/>
    </row>
    <row r="145">
      <c r="F145" s="86"/>
    </row>
    <row r="146">
      <c r="F146" s="86"/>
    </row>
    <row r="147">
      <c r="F147" s="86"/>
    </row>
    <row r="148">
      <c r="F148" s="86"/>
    </row>
    <row r="149">
      <c r="F149" s="86"/>
    </row>
    <row r="150">
      <c r="F150" s="86"/>
    </row>
    <row r="151">
      <c r="F151" s="86"/>
    </row>
    <row r="152">
      <c r="F152" s="86"/>
    </row>
    <row r="153">
      <c r="F153" s="86"/>
    </row>
    <row r="154">
      <c r="F154" s="86"/>
    </row>
    <row r="155">
      <c r="F155" s="86"/>
    </row>
    <row r="156">
      <c r="F156" s="86"/>
    </row>
    <row r="157">
      <c r="F157" s="86"/>
    </row>
    <row r="158">
      <c r="F158" s="86"/>
    </row>
    <row r="159">
      <c r="F159" s="86"/>
    </row>
    <row r="160">
      <c r="F160" s="86"/>
    </row>
    <row r="161">
      <c r="F161" s="86"/>
    </row>
    <row r="162">
      <c r="F162" s="86"/>
    </row>
    <row r="163">
      <c r="F163" s="86"/>
    </row>
    <row r="164">
      <c r="F164" s="86"/>
    </row>
    <row r="165">
      <c r="F165" s="86"/>
    </row>
    <row r="166">
      <c r="F166" s="86"/>
    </row>
    <row r="167">
      <c r="F167" s="86"/>
    </row>
    <row r="168">
      <c r="F168" s="86"/>
    </row>
    <row r="169">
      <c r="F169" s="86"/>
    </row>
    <row r="170">
      <c r="F170" s="86"/>
    </row>
    <row r="171">
      <c r="F171" s="86"/>
    </row>
    <row r="172">
      <c r="F172" s="86"/>
    </row>
    <row r="173">
      <c r="F173" s="86"/>
    </row>
    <row r="174">
      <c r="F174" s="86"/>
    </row>
    <row r="175">
      <c r="F175" s="86"/>
    </row>
    <row r="176">
      <c r="F176" s="86"/>
    </row>
    <row r="177">
      <c r="F177" s="86"/>
    </row>
    <row r="178">
      <c r="F178" s="86"/>
    </row>
    <row r="179">
      <c r="F179" s="86"/>
    </row>
    <row r="180">
      <c r="F180" s="86"/>
    </row>
    <row r="181">
      <c r="F181" s="86"/>
    </row>
    <row r="182">
      <c r="F182" s="86"/>
    </row>
    <row r="183">
      <c r="F183" s="86"/>
    </row>
    <row r="184">
      <c r="F184" s="86"/>
    </row>
    <row r="185">
      <c r="F185" s="86"/>
    </row>
    <row r="186">
      <c r="F186" s="86"/>
    </row>
    <row r="187">
      <c r="F187" s="86"/>
    </row>
    <row r="188">
      <c r="F188" s="86"/>
    </row>
    <row r="189">
      <c r="F189" s="86"/>
    </row>
    <row r="190">
      <c r="F190" s="86"/>
    </row>
    <row r="191">
      <c r="F191" s="86"/>
    </row>
    <row r="192">
      <c r="F192" s="86"/>
    </row>
    <row r="193">
      <c r="F193" s="86"/>
    </row>
    <row r="194">
      <c r="F194" s="86"/>
    </row>
    <row r="195">
      <c r="F195" s="86"/>
    </row>
    <row r="196">
      <c r="F196" s="86"/>
    </row>
    <row r="197">
      <c r="F197" s="86"/>
    </row>
    <row r="198">
      <c r="F198" s="86"/>
    </row>
    <row r="199">
      <c r="F199" s="86"/>
    </row>
    <row r="200">
      <c r="F200" s="86"/>
    </row>
    <row r="201">
      <c r="F201" s="86"/>
    </row>
    <row r="202">
      <c r="F202" s="86"/>
    </row>
    <row r="203">
      <c r="F203" s="86"/>
    </row>
    <row r="204">
      <c r="F204" s="86"/>
    </row>
    <row r="205">
      <c r="F205" s="86"/>
    </row>
    <row r="206">
      <c r="F206" s="86"/>
    </row>
    <row r="207">
      <c r="F207" s="86"/>
    </row>
    <row r="208">
      <c r="F208" s="86"/>
    </row>
    <row r="209">
      <c r="F209" s="86"/>
    </row>
    <row r="210">
      <c r="F210" s="86"/>
    </row>
    <row r="211">
      <c r="F211" s="86"/>
    </row>
    <row r="212">
      <c r="F212" s="86"/>
    </row>
    <row r="213">
      <c r="F213" s="86"/>
    </row>
    <row r="214">
      <c r="F214" s="86"/>
    </row>
    <row r="215">
      <c r="F215" s="86"/>
    </row>
    <row r="216">
      <c r="F216" s="86"/>
    </row>
    <row r="217">
      <c r="F217" s="86"/>
    </row>
    <row r="218">
      <c r="F218" s="86"/>
    </row>
    <row r="219">
      <c r="F219" s="86"/>
    </row>
    <row r="220">
      <c r="F220" s="86"/>
    </row>
    <row r="221">
      <c r="F221" s="86"/>
    </row>
    <row r="222">
      <c r="F222" s="86"/>
    </row>
    <row r="223">
      <c r="F223" s="86"/>
    </row>
    <row r="224">
      <c r="F224" s="86"/>
    </row>
    <row r="225">
      <c r="F225" s="86"/>
    </row>
    <row r="226">
      <c r="F226" s="86"/>
    </row>
    <row r="227">
      <c r="F227" s="86"/>
    </row>
    <row r="228">
      <c r="F228" s="86"/>
    </row>
    <row r="229">
      <c r="F229" s="86"/>
    </row>
    <row r="230">
      <c r="F230" s="86"/>
    </row>
    <row r="231">
      <c r="F231" s="86"/>
    </row>
    <row r="232">
      <c r="F232" s="86"/>
    </row>
    <row r="233">
      <c r="F233" s="86"/>
    </row>
    <row r="234">
      <c r="F234" s="86"/>
    </row>
    <row r="235">
      <c r="F235" s="86"/>
    </row>
    <row r="236">
      <c r="F236" s="86"/>
    </row>
    <row r="237">
      <c r="F237" s="86"/>
    </row>
    <row r="238">
      <c r="F238" s="86"/>
    </row>
    <row r="239">
      <c r="F239" s="86"/>
    </row>
    <row r="240">
      <c r="F240" s="86"/>
    </row>
    <row r="241">
      <c r="F241" s="86"/>
    </row>
    <row r="242">
      <c r="F242" s="86"/>
    </row>
    <row r="243">
      <c r="F243" s="86"/>
    </row>
    <row r="244">
      <c r="F244" s="86"/>
    </row>
    <row r="245">
      <c r="F245" s="86"/>
    </row>
    <row r="246">
      <c r="F246" s="86"/>
    </row>
    <row r="247">
      <c r="F247" s="86"/>
    </row>
    <row r="248">
      <c r="F248" s="86"/>
    </row>
    <row r="249">
      <c r="F249" s="86"/>
    </row>
    <row r="250">
      <c r="F250" s="86"/>
    </row>
    <row r="251">
      <c r="F251" s="86"/>
    </row>
    <row r="252">
      <c r="F252" s="86"/>
    </row>
    <row r="253">
      <c r="F253" s="86"/>
    </row>
    <row r="254">
      <c r="F254" s="86"/>
    </row>
    <row r="255">
      <c r="F255" s="86"/>
    </row>
    <row r="256">
      <c r="F256" s="86"/>
    </row>
    <row r="257">
      <c r="F257" s="86"/>
    </row>
    <row r="258">
      <c r="F258" s="86"/>
    </row>
    <row r="259">
      <c r="F259" s="86"/>
    </row>
    <row r="260">
      <c r="F260" s="86"/>
    </row>
    <row r="261">
      <c r="F261" s="86"/>
    </row>
    <row r="262">
      <c r="F262" s="86"/>
    </row>
    <row r="263">
      <c r="F263" s="86"/>
    </row>
    <row r="264">
      <c r="F264" s="86"/>
    </row>
    <row r="265">
      <c r="F265" s="86"/>
    </row>
    <row r="266">
      <c r="F266" s="86"/>
    </row>
    <row r="267">
      <c r="F267" s="86"/>
    </row>
    <row r="268">
      <c r="F268" s="86"/>
    </row>
    <row r="269">
      <c r="F269" s="86"/>
    </row>
    <row r="270">
      <c r="F270" s="86"/>
    </row>
    <row r="271">
      <c r="F271" s="86"/>
    </row>
    <row r="272">
      <c r="F272" s="86"/>
    </row>
    <row r="273">
      <c r="F273" s="86"/>
    </row>
    <row r="274">
      <c r="F274" s="86"/>
    </row>
    <row r="275">
      <c r="F275" s="86"/>
    </row>
    <row r="276">
      <c r="F276" s="86"/>
    </row>
    <row r="277">
      <c r="F277" s="86"/>
    </row>
    <row r="278">
      <c r="F278" s="86"/>
    </row>
    <row r="279">
      <c r="F279" s="86"/>
    </row>
    <row r="280">
      <c r="F280" s="86"/>
    </row>
    <row r="281">
      <c r="F281" s="86"/>
    </row>
    <row r="282">
      <c r="F282" s="86"/>
    </row>
    <row r="283">
      <c r="F283" s="86"/>
    </row>
    <row r="284">
      <c r="F284" s="86"/>
    </row>
    <row r="285">
      <c r="F285" s="86"/>
    </row>
    <row r="286">
      <c r="F286" s="86"/>
    </row>
    <row r="287">
      <c r="F287" s="86"/>
    </row>
    <row r="288">
      <c r="F288" s="86"/>
    </row>
    <row r="289">
      <c r="F289" s="86"/>
    </row>
    <row r="290">
      <c r="F290" s="86"/>
    </row>
    <row r="291">
      <c r="F291" s="86"/>
    </row>
    <row r="292">
      <c r="F292" s="86"/>
    </row>
    <row r="293">
      <c r="F293" s="86"/>
    </row>
    <row r="294">
      <c r="F294" s="86"/>
    </row>
    <row r="295">
      <c r="F295" s="86"/>
    </row>
    <row r="296">
      <c r="F296" s="86"/>
    </row>
    <row r="297">
      <c r="F297" s="86"/>
    </row>
    <row r="298">
      <c r="F298" s="86"/>
    </row>
    <row r="299">
      <c r="F299" s="86"/>
    </row>
    <row r="300">
      <c r="F300" s="86"/>
    </row>
    <row r="301">
      <c r="F301" s="86"/>
    </row>
    <row r="302">
      <c r="F302" s="86"/>
    </row>
    <row r="303">
      <c r="F303" s="86"/>
    </row>
    <row r="304">
      <c r="F304" s="86"/>
    </row>
    <row r="305">
      <c r="F305" s="86"/>
    </row>
    <row r="306">
      <c r="F306" s="86"/>
    </row>
    <row r="307">
      <c r="F307" s="86"/>
    </row>
    <row r="308">
      <c r="F308" s="86"/>
    </row>
    <row r="309">
      <c r="F309" s="86"/>
    </row>
    <row r="310">
      <c r="F310" s="86"/>
    </row>
    <row r="311">
      <c r="F311" s="86"/>
    </row>
    <row r="312">
      <c r="F312" s="86"/>
    </row>
    <row r="313">
      <c r="F313" s="86"/>
    </row>
    <row r="314">
      <c r="F314" s="86"/>
    </row>
    <row r="315">
      <c r="F315" s="86"/>
    </row>
    <row r="316">
      <c r="F316" s="86"/>
    </row>
    <row r="317">
      <c r="F317" s="86"/>
    </row>
    <row r="318">
      <c r="F318" s="86"/>
    </row>
    <row r="319">
      <c r="F319" s="86"/>
    </row>
    <row r="320">
      <c r="F320" s="86"/>
    </row>
    <row r="321">
      <c r="F321" s="86"/>
    </row>
    <row r="322">
      <c r="F322" s="86"/>
    </row>
    <row r="323">
      <c r="F323" s="86"/>
    </row>
    <row r="324">
      <c r="F324" s="86"/>
    </row>
    <row r="325">
      <c r="F325" s="86"/>
    </row>
    <row r="326">
      <c r="F326" s="86"/>
    </row>
    <row r="327">
      <c r="F327" s="86"/>
    </row>
    <row r="328">
      <c r="F328" s="86"/>
    </row>
    <row r="329">
      <c r="F329" s="86"/>
    </row>
    <row r="330">
      <c r="F330" s="86"/>
    </row>
    <row r="331">
      <c r="F331" s="86"/>
    </row>
    <row r="332">
      <c r="F332" s="86"/>
    </row>
    <row r="333">
      <c r="F333" s="86"/>
    </row>
    <row r="334">
      <c r="F334" s="86"/>
    </row>
    <row r="335">
      <c r="F335" s="86"/>
    </row>
    <row r="336">
      <c r="F336" s="86"/>
    </row>
    <row r="337">
      <c r="F337" s="86"/>
    </row>
    <row r="338">
      <c r="F338" s="86"/>
    </row>
    <row r="339">
      <c r="F339" s="86"/>
    </row>
    <row r="340">
      <c r="F340" s="86"/>
    </row>
    <row r="341">
      <c r="F341" s="86"/>
    </row>
    <row r="342">
      <c r="F342" s="86"/>
    </row>
    <row r="343">
      <c r="F343" s="86"/>
    </row>
    <row r="344">
      <c r="F344" s="86"/>
    </row>
    <row r="345">
      <c r="F345" s="86"/>
    </row>
    <row r="346">
      <c r="F346" s="86"/>
    </row>
    <row r="347">
      <c r="F347" s="86"/>
    </row>
    <row r="348">
      <c r="F348" s="86"/>
    </row>
    <row r="349">
      <c r="F349" s="86"/>
    </row>
    <row r="350">
      <c r="F350" s="86"/>
    </row>
    <row r="351">
      <c r="F351" s="86"/>
    </row>
    <row r="352">
      <c r="F352" s="86"/>
    </row>
    <row r="353">
      <c r="F353" s="86"/>
    </row>
    <row r="354">
      <c r="F354" s="86"/>
    </row>
    <row r="355">
      <c r="F355" s="86"/>
    </row>
    <row r="356">
      <c r="F356" s="86"/>
    </row>
    <row r="357">
      <c r="F357" s="86"/>
    </row>
    <row r="358">
      <c r="F358" s="86"/>
    </row>
    <row r="359">
      <c r="F359" s="86"/>
    </row>
    <row r="360">
      <c r="F360" s="86"/>
    </row>
    <row r="361">
      <c r="F361" s="86"/>
    </row>
    <row r="362">
      <c r="F362" s="86"/>
    </row>
    <row r="363">
      <c r="F363" s="86"/>
    </row>
    <row r="364">
      <c r="F364" s="86"/>
    </row>
    <row r="365">
      <c r="F365" s="86"/>
    </row>
    <row r="366">
      <c r="F366" s="86"/>
    </row>
    <row r="367">
      <c r="F367" s="86"/>
    </row>
    <row r="368">
      <c r="F368" s="86"/>
    </row>
    <row r="369">
      <c r="F369" s="86"/>
    </row>
    <row r="370">
      <c r="F370" s="86"/>
    </row>
    <row r="371">
      <c r="F371" s="86"/>
    </row>
    <row r="372">
      <c r="F372" s="86"/>
    </row>
    <row r="373">
      <c r="F373" s="86"/>
    </row>
    <row r="374">
      <c r="F374" s="86"/>
    </row>
    <row r="375">
      <c r="F375" s="86"/>
    </row>
    <row r="376">
      <c r="F376" s="86"/>
    </row>
    <row r="377">
      <c r="F377" s="86"/>
    </row>
    <row r="378">
      <c r="F378" s="86"/>
    </row>
    <row r="379">
      <c r="F379" s="86"/>
    </row>
    <row r="380">
      <c r="F380" s="86"/>
    </row>
    <row r="381">
      <c r="F381" s="86"/>
    </row>
    <row r="382">
      <c r="F382" s="86"/>
    </row>
    <row r="383">
      <c r="F383" s="86"/>
    </row>
    <row r="384">
      <c r="F384" s="86"/>
    </row>
    <row r="385">
      <c r="F385" s="86"/>
    </row>
    <row r="386">
      <c r="F386" s="86"/>
    </row>
    <row r="387">
      <c r="F387" s="86"/>
    </row>
    <row r="388">
      <c r="F388" s="86"/>
    </row>
    <row r="389">
      <c r="F389" s="86"/>
    </row>
    <row r="390">
      <c r="F390" s="86"/>
    </row>
    <row r="391">
      <c r="F391" s="86"/>
    </row>
    <row r="392">
      <c r="F392" s="86"/>
    </row>
    <row r="393">
      <c r="F393" s="86"/>
    </row>
    <row r="394">
      <c r="F394" s="86"/>
    </row>
    <row r="395">
      <c r="F395" s="86"/>
    </row>
    <row r="396">
      <c r="F396" s="86"/>
    </row>
    <row r="397">
      <c r="F397" s="86"/>
    </row>
    <row r="398">
      <c r="F398" s="86"/>
    </row>
    <row r="399">
      <c r="F399" s="86"/>
    </row>
    <row r="400">
      <c r="F400" s="86"/>
    </row>
    <row r="401">
      <c r="F401" s="86"/>
    </row>
    <row r="402">
      <c r="F402" s="86"/>
    </row>
    <row r="403">
      <c r="F403" s="86"/>
    </row>
    <row r="404">
      <c r="F404" s="86"/>
    </row>
    <row r="405">
      <c r="F405" s="86"/>
    </row>
    <row r="406">
      <c r="F406" s="86"/>
    </row>
    <row r="407">
      <c r="F407" s="86"/>
    </row>
    <row r="408">
      <c r="F408" s="86"/>
    </row>
    <row r="409">
      <c r="F409" s="86"/>
    </row>
    <row r="410">
      <c r="F410" s="86"/>
    </row>
    <row r="411">
      <c r="F411" s="86"/>
    </row>
    <row r="412">
      <c r="F412" s="86"/>
    </row>
    <row r="413">
      <c r="F413" s="86"/>
    </row>
    <row r="414">
      <c r="F414" s="86"/>
    </row>
    <row r="415">
      <c r="F415" s="86"/>
    </row>
    <row r="416">
      <c r="F416" s="86"/>
    </row>
    <row r="417">
      <c r="F417" s="86"/>
    </row>
    <row r="418">
      <c r="F418" s="86"/>
    </row>
    <row r="419">
      <c r="F419" s="86"/>
    </row>
    <row r="420">
      <c r="F420" s="86"/>
    </row>
    <row r="421">
      <c r="F421" s="86"/>
    </row>
    <row r="422">
      <c r="F422" s="86"/>
    </row>
    <row r="423">
      <c r="F423" s="86"/>
    </row>
    <row r="424">
      <c r="F424" s="86"/>
    </row>
    <row r="425">
      <c r="F425" s="86"/>
    </row>
    <row r="426">
      <c r="F426" s="86"/>
    </row>
    <row r="427">
      <c r="F427" s="86"/>
    </row>
    <row r="428">
      <c r="F428" s="86"/>
    </row>
    <row r="429">
      <c r="F429" s="86"/>
    </row>
    <row r="430">
      <c r="F430" s="86"/>
    </row>
    <row r="431">
      <c r="F431" s="86"/>
    </row>
    <row r="432">
      <c r="F432" s="86"/>
    </row>
    <row r="433">
      <c r="F433" s="86"/>
    </row>
    <row r="434">
      <c r="F434" s="86"/>
    </row>
    <row r="435">
      <c r="F435" s="86"/>
    </row>
    <row r="436">
      <c r="F436" s="86"/>
    </row>
    <row r="437">
      <c r="F437" s="86"/>
    </row>
    <row r="438">
      <c r="F438" s="86"/>
    </row>
    <row r="439">
      <c r="F439" s="86"/>
    </row>
    <row r="440">
      <c r="F440" s="86"/>
    </row>
    <row r="441">
      <c r="F441" s="86"/>
    </row>
    <row r="442">
      <c r="F442" s="86"/>
    </row>
    <row r="443">
      <c r="F443" s="86"/>
    </row>
    <row r="444">
      <c r="F444" s="86"/>
    </row>
    <row r="445">
      <c r="F445" s="86"/>
    </row>
    <row r="446">
      <c r="F446" s="86"/>
    </row>
    <row r="447">
      <c r="F447" s="86"/>
    </row>
    <row r="448">
      <c r="F448" s="86"/>
    </row>
    <row r="449">
      <c r="F449" s="86"/>
    </row>
    <row r="450">
      <c r="F450" s="86"/>
    </row>
    <row r="451">
      <c r="F451" s="86"/>
    </row>
    <row r="452">
      <c r="F452" s="86"/>
    </row>
    <row r="453">
      <c r="F453" s="86"/>
    </row>
    <row r="454">
      <c r="F454" s="86"/>
    </row>
    <row r="455">
      <c r="F455" s="86"/>
    </row>
    <row r="456">
      <c r="F456" s="86"/>
    </row>
    <row r="457">
      <c r="F457" s="86"/>
    </row>
    <row r="458">
      <c r="F458" s="86"/>
    </row>
    <row r="459">
      <c r="F459" s="86"/>
    </row>
    <row r="460">
      <c r="F460" s="86"/>
    </row>
    <row r="461">
      <c r="F461" s="86"/>
    </row>
    <row r="462">
      <c r="F462" s="86"/>
    </row>
    <row r="463">
      <c r="F463" s="86"/>
    </row>
    <row r="464">
      <c r="F464" s="86"/>
    </row>
    <row r="465">
      <c r="F465" s="86"/>
    </row>
    <row r="466">
      <c r="F466" s="86"/>
    </row>
    <row r="467">
      <c r="F467" s="86"/>
    </row>
    <row r="468">
      <c r="F468" s="86"/>
    </row>
    <row r="469">
      <c r="F469" s="86"/>
    </row>
    <row r="470">
      <c r="F470" s="86"/>
    </row>
    <row r="471">
      <c r="F471" s="86"/>
    </row>
    <row r="472">
      <c r="F472" s="86"/>
    </row>
    <row r="473">
      <c r="F473" s="86"/>
    </row>
    <row r="474">
      <c r="F474" s="86"/>
    </row>
    <row r="475">
      <c r="F475" s="86"/>
    </row>
    <row r="476">
      <c r="F476" s="86"/>
    </row>
    <row r="477">
      <c r="F477" s="86"/>
    </row>
    <row r="478">
      <c r="F478" s="86"/>
    </row>
    <row r="479">
      <c r="F479" s="86"/>
    </row>
    <row r="480">
      <c r="F480" s="86"/>
    </row>
    <row r="481">
      <c r="F481" s="86"/>
    </row>
    <row r="482">
      <c r="F482" s="86"/>
    </row>
    <row r="483">
      <c r="F483" s="86"/>
    </row>
    <row r="484">
      <c r="F484" s="86"/>
    </row>
    <row r="485">
      <c r="F485" s="86"/>
    </row>
    <row r="486">
      <c r="F486" s="86"/>
    </row>
    <row r="487">
      <c r="F487" s="86"/>
    </row>
    <row r="488">
      <c r="F488" s="86"/>
    </row>
    <row r="489">
      <c r="F489" s="86"/>
    </row>
    <row r="490">
      <c r="F490" s="86"/>
    </row>
    <row r="491">
      <c r="F491" s="86"/>
    </row>
    <row r="492">
      <c r="F492" s="86"/>
    </row>
    <row r="493">
      <c r="F493" s="86"/>
    </row>
    <row r="494">
      <c r="F494" s="86"/>
    </row>
    <row r="495">
      <c r="F495" s="86"/>
    </row>
    <row r="496">
      <c r="F496" s="86"/>
    </row>
    <row r="497">
      <c r="F497" s="86"/>
    </row>
    <row r="498">
      <c r="F498" s="86"/>
    </row>
    <row r="499">
      <c r="F499" s="86"/>
    </row>
    <row r="500">
      <c r="F500" s="86"/>
    </row>
    <row r="501">
      <c r="F501" s="86"/>
    </row>
    <row r="502">
      <c r="F502" s="86"/>
    </row>
    <row r="503">
      <c r="F503" s="86"/>
    </row>
    <row r="504">
      <c r="F504" s="86"/>
    </row>
    <row r="505">
      <c r="F505" s="86"/>
    </row>
    <row r="506">
      <c r="F506" s="86"/>
    </row>
    <row r="507">
      <c r="F507" s="86"/>
    </row>
    <row r="508">
      <c r="F508" s="86"/>
    </row>
    <row r="509">
      <c r="F509" s="86"/>
    </row>
    <row r="510">
      <c r="F510" s="86"/>
    </row>
    <row r="511">
      <c r="F511" s="86"/>
    </row>
    <row r="512">
      <c r="F512" s="86"/>
    </row>
    <row r="513">
      <c r="F513" s="86"/>
    </row>
    <row r="514">
      <c r="F514" s="86"/>
    </row>
    <row r="515">
      <c r="F515" s="86"/>
    </row>
    <row r="516">
      <c r="F516" s="86"/>
    </row>
    <row r="517">
      <c r="F517" s="86"/>
    </row>
    <row r="518">
      <c r="F518" s="86"/>
    </row>
    <row r="519">
      <c r="F519" s="86"/>
    </row>
    <row r="520">
      <c r="F520" s="86"/>
    </row>
    <row r="521">
      <c r="F521" s="86"/>
    </row>
    <row r="522">
      <c r="F522" s="86"/>
    </row>
    <row r="523">
      <c r="F523" s="86"/>
    </row>
    <row r="524">
      <c r="F524" s="86"/>
    </row>
    <row r="525">
      <c r="F525" s="86"/>
    </row>
    <row r="526">
      <c r="F526" s="86"/>
    </row>
    <row r="527">
      <c r="F527" s="86"/>
    </row>
    <row r="528">
      <c r="F528" s="86"/>
    </row>
    <row r="529">
      <c r="F529" s="86"/>
    </row>
    <row r="530">
      <c r="F530" s="86"/>
    </row>
    <row r="531">
      <c r="F531" s="86"/>
    </row>
    <row r="532">
      <c r="F532" s="86"/>
    </row>
    <row r="533">
      <c r="F533" s="86"/>
    </row>
    <row r="534">
      <c r="F534" s="86"/>
    </row>
    <row r="535">
      <c r="F535" s="86"/>
    </row>
    <row r="536">
      <c r="F536" s="86"/>
    </row>
    <row r="537">
      <c r="F537" s="86"/>
    </row>
    <row r="538">
      <c r="F538" s="86"/>
    </row>
    <row r="539">
      <c r="F539" s="86"/>
    </row>
    <row r="540">
      <c r="F540" s="86"/>
    </row>
    <row r="541">
      <c r="F541" s="86"/>
    </row>
    <row r="542">
      <c r="F542" s="86"/>
    </row>
    <row r="543">
      <c r="F543" s="86"/>
    </row>
    <row r="544">
      <c r="F544" s="86"/>
    </row>
    <row r="545">
      <c r="F545" s="86"/>
    </row>
    <row r="546">
      <c r="F546" s="86"/>
    </row>
    <row r="547">
      <c r="F547" s="86"/>
    </row>
    <row r="548">
      <c r="F548" s="86"/>
    </row>
    <row r="549">
      <c r="F549" s="86"/>
    </row>
    <row r="550">
      <c r="F550" s="86"/>
    </row>
    <row r="551">
      <c r="F551" s="86"/>
    </row>
    <row r="552">
      <c r="F552" s="86"/>
    </row>
    <row r="553">
      <c r="F553" s="86"/>
    </row>
    <row r="554">
      <c r="F554" s="86"/>
    </row>
    <row r="555">
      <c r="F555" s="86"/>
    </row>
    <row r="556">
      <c r="F556" s="86"/>
    </row>
    <row r="557">
      <c r="F557" s="86"/>
    </row>
    <row r="558">
      <c r="F558" s="86"/>
    </row>
    <row r="559">
      <c r="F559" s="86"/>
    </row>
    <row r="560">
      <c r="F560" s="86"/>
    </row>
    <row r="561">
      <c r="F561" s="86"/>
    </row>
    <row r="562">
      <c r="F562" s="86"/>
    </row>
    <row r="563">
      <c r="F563" s="86"/>
    </row>
    <row r="564">
      <c r="F564" s="86"/>
    </row>
    <row r="565">
      <c r="F565" s="86"/>
    </row>
    <row r="566">
      <c r="F566" s="86"/>
    </row>
    <row r="567">
      <c r="F567" s="86"/>
    </row>
    <row r="568">
      <c r="F568" s="86"/>
    </row>
    <row r="569">
      <c r="F569" s="86"/>
    </row>
    <row r="570">
      <c r="F570" s="86"/>
    </row>
    <row r="571">
      <c r="F571" s="86"/>
    </row>
    <row r="572">
      <c r="F572" s="86"/>
    </row>
    <row r="573">
      <c r="F573" s="86"/>
    </row>
    <row r="574">
      <c r="F574" s="86"/>
    </row>
    <row r="575">
      <c r="F575" s="86"/>
    </row>
    <row r="576">
      <c r="F576" s="86"/>
    </row>
    <row r="577">
      <c r="F577" s="86"/>
    </row>
    <row r="578">
      <c r="F578" s="86"/>
    </row>
    <row r="579">
      <c r="F579" s="86"/>
    </row>
    <row r="580">
      <c r="F580" s="86"/>
    </row>
    <row r="581">
      <c r="F581" s="86"/>
    </row>
    <row r="582">
      <c r="F582" s="86"/>
    </row>
    <row r="583">
      <c r="F583" s="86"/>
    </row>
    <row r="584">
      <c r="F584" s="86"/>
    </row>
    <row r="585">
      <c r="F585" s="86"/>
    </row>
    <row r="586">
      <c r="F586" s="86"/>
    </row>
    <row r="587">
      <c r="F587" s="86"/>
    </row>
    <row r="588">
      <c r="F588" s="86"/>
    </row>
    <row r="589">
      <c r="F589" s="86"/>
    </row>
    <row r="590">
      <c r="F590" s="86"/>
    </row>
    <row r="591">
      <c r="F591" s="86"/>
    </row>
    <row r="592">
      <c r="F592" s="86"/>
    </row>
    <row r="593">
      <c r="F593" s="86"/>
    </row>
    <row r="594">
      <c r="F594" s="86"/>
    </row>
    <row r="595">
      <c r="F595" s="86"/>
    </row>
    <row r="596">
      <c r="F596" s="86"/>
    </row>
    <row r="597">
      <c r="F597" s="86"/>
    </row>
    <row r="598">
      <c r="F598" s="86"/>
    </row>
    <row r="599">
      <c r="F599" s="86"/>
    </row>
    <row r="600">
      <c r="F600" s="86"/>
    </row>
    <row r="601">
      <c r="F601" s="86"/>
    </row>
    <row r="602">
      <c r="F602" s="86"/>
    </row>
    <row r="603">
      <c r="F603" s="86"/>
    </row>
    <row r="604">
      <c r="F604" s="86"/>
    </row>
    <row r="605">
      <c r="F605" s="86"/>
    </row>
    <row r="606">
      <c r="F606" s="86"/>
    </row>
    <row r="607">
      <c r="F607" s="86"/>
    </row>
    <row r="608">
      <c r="F608" s="86"/>
    </row>
    <row r="609">
      <c r="F609" s="86"/>
    </row>
    <row r="610">
      <c r="F610" s="86"/>
    </row>
    <row r="611">
      <c r="F611" s="86"/>
    </row>
    <row r="612">
      <c r="F612" s="86"/>
    </row>
    <row r="613">
      <c r="F613" s="86"/>
    </row>
    <row r="614">
      <c r="F614" s="86"/>
    </row>
    <row r="615">
      <c r="F615" s="86"/>
    </row>
    <row r="616">
      <c r="F616" s="86"/>
    </row>
    <row r="617">
      <c r="F617" s="86"/>
    </row>
    <row r="618">
      <c r="F618" s="86"/>
    </row>
    <row r="619">
      <c r="F619" s="86"/>
    </row>
    <row r="620">
      <c r="F620" s="86"/>
    </row>
    <row r="621">
      <c r="F621" s="86"/>
    </row>
    <row r="622">
      <c r="F622" s="86"/>
    </row>
    <row r="623">
      <c r="F623" s="86"/>
    </row>
    <row r="624">
      <c r="F624" s="86"/>
    </row>
    <row r="625">
      <c r="F625" s="86"/>
    </row>
    <row r="626">
      <c r="F626" s="86"/>
    </row>
    <row r="627">
      <c r="F627" s="86"/>
    </row>
    <row r="628">
      <c r="F628" s="86"/>
    </row>
    <row r="629">
      <c r="F629" s="86"/>
    </row>
    <row r="630">
      <c r="F630" s="86"/>
    </row>
    <row r="631">
      <c r="F631" s="86"/>
    </row>
    <row r="632">
      <c r="F632" s="86"/>
    </row>
    <row r="633">
      <c r="F633" s="86"/>
    </row>
    <row r="634">
      <c r="F634" s="86"/>
    </row>
    <row r="635">
      <c r="F635" s="86"/>
    </row>
    <row r="636">
      <c r="F636" s="86"/>
    </row>
    <row r="637">
      <c r="F637" s="86"/>
    </row>
    <row r="638">
      <c r="F638" s="86"/>
    </row>
    <row r="639">
      <c r="F639" s="86"/>
    </row>
    <row r="640">
      <c r="F640" s="86"/>
    </row>
    <row r="641">
      <c r="F641" s="86"/>
    </row>
    <row r="642">
      <c r="F642" s="86"/>
    </row>
    <row r="643">
      <c r="F643" s="86"/>
    </row>
    <row r="644">
      <c r="F644" s="86"/>
    </row>
    <row r="645">
      <c r="F645" s="86"/>
    </row>
    <row r="646">
      <c r="F646" s="86"/>
    </row>
    <row r="647">
      <c r="F647" s="86"/>
    </row>
    <row r="648">
      <c r="F648" s="86"/>
    </row>
    <row r="649">
      <c r="F649" s="86"/>
    </row>
    <row r="650">
      <c r="F650" s="86"/>
    </row>
    <row r="651">
      <c r="F651" s="86"/>
    </row>
    <row r="652">
      <c r="F652" s="86"/>
    </row>
    <row r="653">
      <c r="F653" s="86"/>
    </row>
    <row r="654">
      <c r="F654" s="86"/>
    </row>
    <row r="655">
      <c r="F655" s="86"/>
    </row>
    <row r="656">
      <c r="F656" s="86"/>
    </row>
    <row r="657">
      <c r="F657" s="86"/>
    </row>
    <row r="658">
      <c r="F658" s="86"/>
    </row>
    <row r="659">
      <c r="F659" s="86"/>
    </row>
    <row r="660">
      <c r="F660" s="86"/>
    </row>
    <row r="661">
      <c r="F661" s="86"/>
    </row>
    <row r="662">
      <c r="F662" s="86"/>
    </row>
    <row r="663">
      <c r="F663" s="86"/>
    </row>
    <row r="664">
      <c r="F664" s="86"/>
    </row>
    <row r="665">
      <c r="F665" s="86"/>
    </row>
    <row r="666">
      <c r="F666" s="86"/>
    </row>
    <row r="667">
      <c r="F667" s="86"/>
    </row>
    <row r="668">
      <c r="F668" s="86"/>
    </row>
    <row r="669">
      <c r="F669" s="86"/>
    </row>
    <row r="670">
      <c r="F670" s="86"/>
    </row>
    <row r="671">
      <c r="F671" s="86"/>
    </row>
    <row r="672">
      <c r="F672" s="86"/>
    </row>
    <row r="673">
      <c r="F673" s="86"/>
    </row>
    <row r="674">
      <c r="F674" s="86"/>
    </row>
    <row r="675">
      <c r="F675" s="86"/>
    </row>
    <row r="676">
      <c r="F676" s="86"/>
    </row>
    <row r="677">
      <c r="F677" s="86"/>
    </row>
    <row r="678">
      <c r="F678" s="86"/>
    </row>
    <row r="679">
      <c r="F679" s="86"/>
    </row>
    <row r="680">
      <c r="F680" s="86"/>
    </row>
    <row r="681">
      <c r="F681" s="86"/>
    </row>
    <row r="682">
      <c r="F682" s="86"/>
    </row>
    <row r="683">
      <c r="F683" s="86"/>
    </row>
    <row r="684">
      <c r="F684" s="86"/>
    </row>
    <row r="685">
      <c r="F685" s="86"/>
    </row>
    <row r="686">
      <c r="F686" s="86"/>
    </row>
    <row r="687">
      <c r="F687" s="86"/>
    </row>
    <row r="688">
      <c r="F688" s="86"/>
    </row>
    <row r="689">
      <c r="F689" s="86"/>
    </row>
    <row r="690">
      <c r="F690" s="86"/>
    </row>
    <row r="691">
      <c r="F691" s="86"/>
    </row>
    <row r="692">
      <c r="F692" s="86"/>
    </row>
    <row r="693">
      <c r="F693" s="86"/>
    </row>
    <row r="694">
      <c r="F694" s="86"/>
    </row>
    <row r="695">
      <c r="F695" s="86"/>
    </row>
    <row r="696">
      <c r="F696" s="86"/>
    </row>
    <row r="697">
      <c r="F697" s="86"/>
    </row>
    <row r="698">
      <c r="F698" s="86"/>
    </row>
    <row r="699">
      <c r="F699" s="86"/>
    </row>
    <row r="700">
      <c r="F700" s="86"/>
    </row>
    <row r="701">
      <c r="F701" s="86"/>
    </row>
    <row r="702">
      <c r="F702" s="86"/>
    </row>
    <row r="703">
      <c r="F703" s="86"/>
    </row>
    <row r="704">
      <c r="F704" s="86"/>
    </row>
    <row r="705">
      <c r="F705" s="86"/>
    </row>
    <row r="706">
      <c r="F706" s="86"/>
    </row>
    <row r="707">
      <c r="F707" s="86"/>
    </row>
    <row r="708">
      <c r="F708" s="86"/>
    </row>
    <row r="709">
      <c r="F709" s="86"/>
    </row>
    <row r="710">
      <c r="F710" s="86"/>
    </row>
    <row r="711">
      <c r="F711" s="86"/>
    </row>
    <row r="712">
      <c r="F712" s="86"/>
    </row>
    <row r="713">
      <c r="F713" s="86"/>
    </row>
    <row r="714">
      <c r="F714" s="86"/>
    </row>
    <row r="715">
      <c r="F715" s="86"/>
    </row>
    <row r="716">
      <c r="F716" s="86"/>
    </row>
    <row r="717">
      <c r="F717" s="86"/>
    </row>
    <row r="718">
      <c r="F718" s="86"/>
    </row>
    <row r="719">
      <c r="F719" s="86"/>
    </row>
    <row r="720">
      <c r="F720" s="86"/>
    </row>
    <row r="721">
      <c r="F721" s="86"/>
    </row>
    <row r="722">
      <c r="F722" s="86"/>
    </row>
    <row r="723">
      <c r="F723" s="86"/>
    </row>
    <row r="724">
      <c r="F724" s="86"/>
    </row>
    <row r="725">
      <c r="F725" s="86"/>
    </row>
    <row r="726">
      <c r="F726" s="86"/>
    </row>
    <row r="727">
      <c r="F727" s="86"/>
    </row>
    <row r="728">
      <c r="F728" s="86"/>
    </row>
    <row r="729">
      <c r="F729" s="86"/>
    </row>
    <row r="730">
      <c r="F730" s="86"/>
    </row>
    <row r="731">
      <c r="F731" s="86"/>
    </row>
    <row r="732">
      <c r="F732" s="86"/>
    </row>
    <row r="733">
      <c r="F733" s="86"/>
    </row>
    <row r="734">
      <c r="F734" s="86"/>
    </row>
    <row r="735">
      <c r="F735" s="86"/>
    </row>
    <row r="736">
      <c r="F736" s="86"/>
    </row>
    <row r="737">
      <c r="F737" s="86"/>
    </row>
    <row r="738">
      <c r="F738" s="86"/>
    </row>
    <row r="739">
      <c r="F739" s="86"/>
    </row>
    <row r="740">
      <c r="F740" s="86"/>
    </row>
    <row r="741">
      <c r="F741" s="86"/>
    </row>
    <row r="742">
      <c r="F742" s="86"/>
    </row>
    <row r="743">
      <c r="F743" s="86"/>
    </row>
    <row r="744">
      <c r="F744" s="86"/>
    </row>
    <row r="745">
      <c r="F745" s="86"/>
    </row>
    <row r="746">
      <c r="F746" s="86"/>
    </row>
    <row r="747">
      <c r="F747" s="86"/>
    </row>
    <row r="748">
      <c r="F748" s="86"/>
    </row>
    <row r="749">
      <c r="F749" s="86"/>
    </row>
    <row r="750">
      <c r="F750" s="86"/>
    </row>
    <row r="751">
      <c r="F751" s="86"/>
    </row>
    <row r="752">
      <c r="F752" s="86"/>
    </row>
    <row r="753">
      <c r="F753" s="86"/>
    </row>
    <row r="754">
      <c r="F754" s="86"/>
    </row>
    <row r="755">
      <c r="F755" s="86"/>
    </row>
    <row r="756">
      <c r="F756" s="86"/>
    </row>
    <row r="757">
      <c r="F757" s="86"/>
    </row>
    <row r="758">
      <c r="F758" s="86"/>
    </row>
    <row r="759">
      <c r="F759" s="86"/>
    </row>
    <row r="760">
      <c r="F760" s="86"/>
    </row>
    <row r="761">
      <c r="F761" s="86"/>
    </row>
    <row r="762">
      <c r="F762" s="86"/>
    </row>
    <row r="763">
      <c r="F763" s="86"/>
    </row>
    <row r="764">
      <c r="F764" s="86"/>
    </row>
    <row r="765">
      <c r="F765" s="86"/>
    </row>
    <row r="766">
      <c r="F766" s="86"/>
    </row>
    <row r="767">
      <c r="F767" s="86"/>
    </row>
    <row r="768">
      <c r="F768" s="86"/>
    </row>
    <row r="769">
      <c r="F769" s="86"/>
    </row>
    <row r="770">
      <c r="F770" s="86"/>
    </row>
    <row r="771">
      <c r="F771" s="86"/>
    </row>
    <row r="772">
      <c r="F772" s="86"/>
    </row>
    <row r="773">
      <c r="F773" s="86"/>
    </row>
    <row r="774">
      <c r="F774" s="86"/>
    </row>
    <row r="775">
      <c r="F775" s="86"/>
    </row>
    <row r="776">
      <c r="F776" s="86"/>
    </row>
    <row r="777">
      <c r="F777" s="86"/>
    </row>
    <row r="778">
      <c r="F778" s="86"/>
    </row>
    <row r="779">
      <c r="F779" s="86"/>
    </row>
    <row r="780">
      <c r="F780" s="86"/>
    </row>
    <row r="781">
      <c r="F781" s="86"/>
    </row>
    <row r="782">
      <c r="F782" s="86"/>
    </row>
    <row r="783">
      <c r="F783" s="86"/>
    </row>
    <row r="784">
      <c r="F784" s="86"/>
    </row>
    <row r="785">
      <c r="F785" s="86"/>
    </row>
    <row r="786">
      <c r="F786" s="86"/>
    </row>
    <row r="787">
      <c r="F787" s="86"/>
    </row>
    <row r="788">
      <c r="F788" s="86"/>
    </row>
    <row r="789">
      <c r="F789" s="86"/>
    </row>
    <row r="790">
      <c r="F790" s="86"/>
    </row>
    <row r="791">
      <c r="F791" s="86"/>
    </row>
    <row r="792">
      <c r="F792" s="86"/>
    </row>
    <row r="793">
      <c r="F793" s="86"/>
    </row>
    <row r="794">
      <c r="F794" s="86"/>
    </row>
    <row r="795">
      <c r="F795" s="86"/>
    </row>
    <row r="796">
      <c r="F796" s="86"/>
    </row>
    <row r="797">
      <c r="F797" s="86"/>
    </row>
    <row r="798">
      <c r="F798" s="86"/>
    </row>
    <row r="799">
      <c r="F799" s="86"/>
    </row>
    <row r="800">
      <c r="F800" s="86"/>
    </row>
    <row r="801">
      <c r="F801" s="86"/>
    </row>
    <row r="802">
      <c r="F802" s="86"/>
    </row>
    <row r="803">
      <c r="F803" s="86"/>
    </row>
    <row r="804">
      <c r="F804" s="86"/>
    </row>
    <row r="805">
      <c r="F805" s="86"/>
    </row>
    <row r="806">
      <c r="F806" s="86"/>
    </row>
    <row r="807">
      <c r="F807" s="86"/>
    </row>
    <row r="808">
      <c r="F808" s="86"/>
    </row>
    <row r="809">
      <c r="F809" s="86"/>
    </row>
    <row r="810">
      <c r="F810" s="86"/>
    </row>
    <row r="811">
      <c r="F811" s="86"/>
    </row>
    <row r="812">
      <c r="F812" s="86"/>
    </row>
    <row r="813">
      <c r="F813" s="86"/>
    </row>
    <row r="814">
      <c r="F814" s="86"/>
    </row>
    <row r="815">
      <c r="F815" s="86"/>
    </row>
    <row r="816">
      <c r="F816" s="86"/>
    </row>
    <row r="817">
      <c r="F817" s="86"/>
    </row>
    <row r="818">
      <c r="F818" s="86"/>
    </row>
    <row r="819">
      <c r="F819" s="86"/>
    </row>
    <row r="820">
      <c r="F820" s="86"/>
    </row>
    <row r="821">
      <c r="F821" s="86"/>
    </row>
    <row r="822">
      <c r="F822" s="86"/>
    </row>
    <row r="823">
      <c r="F823" s="86"/>
    </row>
    <row r="824">
      <c r="F824" s="86"/>
    </row>
    <row r="825">
      <c r="F825" s="86"/>
    </row>
    <row r="826">
      <c r="F826" s="86"/>
    </row>
    <row r="827">
      <c r="F827" s="86"/>
    </row>
    <row r="828">
      <c r="F828" s="86"/>
    </row>
    <row r="829">
      <c r="F829" s="86"/>
    </row>
    <row r="830">
      <c r="F830" s="86"/>
    </row>
    <row r="831">
      <c r="F831" s="86"/>
    </row>
    <row r="832">
      <c r="F832" s="86"/>
    </row>
    <row r="833">
      <c r="F833" s="86"/>
    </row>
    <row r="834">
      <c r="F834" s="86"/>
    </row>
    <row r="835">
      <c r="F835" s="86"/>
    </row>
    <row r="836">
      <c r="F836" s="86"/>
    </row>
    <row r="837">
      <c r="F837" s="86"/>
    </row>
    <row r="838">
      <c r="F838" s="86"/>
    </row>
    <row r="839">
      <c r="F839" s="86"/>
    </row>
    <row r="840">
      <c r="F840" s="86"/>
    </row>
    <row r="841">
      <c r="F841" s="86"/>
    </row>
    <row r="842">
      <c r="F842" s="86"/>
    </row>
    <row r="843">
      <c r="F843" s="86"/>
    </row>
    <row r="844">
      <c r="F844" s="86"/>
    </row>
    <row r="845">
      <c r="F845" s="86"/>
    </row>
    <row r="846">
      <c r="F846" s="86"/>
    </row>
    <row r="847">
      <c r="F847" s="86"/>
    </row>
    <row r="848">
      <c r="F848" s="86"/>
    </row>
    <row r="849">
      <c r="F849" s="86"/>
    </row>
    <row r="850">
      <c r="F850" s="86"/>
    </row>
    <row r="851">
      <c r="F851" s="86"/>
    </row>
    <row r="852">
      <c r="F852" s="86"/>
    </row>
    <row r="853">
      <c r="F853" s="86"/>
    </row>
    <row r="854">
      <c r="F854" s="86"/>
    </row>
    <row r="855">
      <c r="F855" s="86"/>
    </row>
    <row r="856">
      <c r="F856" s="86"/>
    </row>
    <row r="857">
      <c r="F857" s="86"/>
    </row>
    <row r="858">
      <c r="F858" s="86"/>
    </row>
    <row r="859">
      <c r="F859" s="86"/>
    </row>
    <row r="860">
      <c r="F860" s="86"/>
    </row>
    <row r="861">
      <c r="F861" s="86"/>
    </row>
    <row r="862">
      <c r="F862" s="86"/>
    </row>
    <row r="863">
      <c r="F863" s="86"/>
    </row>
    <row r="864">
      <c r="F864" s="86"/>
    </row>
    <row r="865">
      <c r="F865" s="86"/>
    </row>
    <row r="866">
      <c r="F866" s="86"/>
    </row>
    <row r="867">
      <c r="F867" s="86"/>
    </row>
    <row r="868">
      <c r="F868" s="86"/>
    </row>
    <row r="869">
      <c r="F869" s="86"/>
    </row>
    <row r="870">
      <c r="F870" s="86"/>
    </row>
    <row r="871">
      <c r="F871" s="86"/>
    </row>
    <row r="872">
      <c r="F872" s="86"/>
    </row>
    <row r="873">
      <c r="F873" s="86"/>
    </row>
    <row r="874">
      <c r="F874" s="86"/>
    </row>
    <row r="875">
      <c r="F875" s="86"/>
    </row>
    <row r="876">
      <c r="F876" s="86"/>
    </row>
    <row r="877">
      <c r="F877" s="86"/>
    </row>
    <row r="878">
      <c r="F878" s="86"/>
    </row>
    <row r="879">
      <c r="F879" s="86"/>
    </row>
    <row r="880">
      <c r="F880" s="86"/>
    </row>
    <row r="881">
      <c r="F881" s="86"/>
    </row>
    <row r="882">
      <c r="F882" s="86"/>
    </row>
    <row r="883">
      <c r="F883" s="86"/>
    </row>
    <row r="884">
      <c r="F884" s="86"/>
    </row>
    <row r="885">
      <c r="F885" s="86"/>
    </row>
    <row r="886">
      <c r="F886" s="86"/>
    </row>
    <row r="887">
      <c r="F887" s="86"/>
    </row>
    <row r="888">
      <c r="F888" s="86"/>
    </row>
    <row r="889">
      <c r="F889" s="86"/>
    </row>
    <row r="890">
      <c r="F890" s="86"/>
    </row>
    <row r="891">
      <c r="F891" s="86"/>
    </row>
    <row r="892">
      <c r="F892" s="86"/>
    </row>
    <row r="893">
      <c r="F893" s="86"/>
    </row>
    <row r="894">
      <c r="F894" s="86"/>
    </row>
    <row r="895">
      <c r="F895" s="86"/>
    </row>
    <row r="896">
      <c r="F896" s="86"/>
    </row>
    <row r="897">
      <c r="F897" s="86"/>
    </row>
    <row r="898">
      <c r="F898" s="86"/>
    </row>
    <row r="899">
      <c r="F899" s="86"/>
    </row>
    <row r="900">
      <c r="F900" s="86"/>
    </row>
    <row r="901">
      <c r="F901" s="86"/>
    </row>
    <row r="902">
      <c r="F902" s="86"/>
    </row>
    <row r="903">
      <c r="F903" s="86"/>
    </row>
    <row r="904">
      <c r="F904" s="86"/>
    </row>
    <row r="905">
      <c r="F905" s="86"/>
    </row>
    <row r="906">
      <c r="F906" s="86"/>
    </row>
    <row r="907">
      <c r="F907" s="86"/>
    </row>
    <row r="908">
      <c r="F908" s="86"/>
    </row>
    <row r="909">
      <c r="F909" s="86"/>
    </row>
    <row r="910">
      <c r="F910" s="86"/>
    </row>
    <row r="911">
      <c r="F911" s="86"/>
    </row>
    <row r="912">
      <c r="F912" s="86"/>
    </row>
    <row r="913">
      <c r="F913" s="86"/>
    </row>
    <row r="914">
      <c r="F914" s="86"/>
    </row>
    <row r="915">
      <c r="F915" s="86"/>
    </row>
    <row r="916">
      <c r="F916" s="86"/>
    </row>
    <row r="917">
      <c r="F917" s="86"/>
    </row>
    <row r="918">
      <c r="F918" s="86"/>
    </row>
    <row r="919">
      <c r="F919" s="86"/>
    </row>
    <row r="920">
      <c r="F920" s="86"/>
    </row>
    <row r="921">
      <c r="F921" s="86"/>
    </row>
    <row r="922">
      <c r="F922" s="86"/>
    </row>
    <row r="923">
      <c r="F923" s="86"/>
    </row>
    <row r="924">
      <c r="F924" s="86"/>
    </row>
    <row r="925">
      <c r="F925" s="86"/>
    </row>
    <row r="926">
      <c r="F926" s="86"/>
    </row>
    <row r="927">
      <c r="F927" s="86"/>
    </row>
    <row r="928">
      <c r="F928" s="86"/>
    </row>
    <row r="929">
      <c r="F929" s="86"/>
    </row>
    <row r="930">
      <c r="F930" s="86"/>
    </row>
    <row r="931">
      <c r="F931" s="86"/>
    </row>
    <row r="932">
      <c r="F932" s="86"/>
    </row>
    <row r="933">
      <c r="F933" s="86"/>
    </row>
    <row r="934">
      <c r="F934" s="86"/>
    </row>
    <row r="935">
      <c r="F935" s="86"/>
    </row>
    <row r="936">
      <c r="F936" s="86"/>
    </row>
    <row r="937">
      <c r="F937" s="86"/>
    </row>
    <row r="938">
      <c r="F938" s="86"/>
    </row>
    <row r="939">
      <c r="F939" s="86"/>
    </row>
    <row r="940">
      <c r="F940" s="86"/>
    </row>
    <row r="941">
      <c r="F941" s="86"/>
    </row>
    <row r="942">
      <c r="F942" s="86"/>
    </row>
    <row r="943">
      <c r="F943" s="86"/>
    </row>
    <row r="944">
      <c r="F944" s="86"/>
    </row>
    <row r="945">
      <c r="F945" s="86"/>
    </row>
    <row r="946">
      <c r="F946" s="86"/>
    </row>
    <row r="947">
      <c r="F947" s="86"/>
    </row>
    <row r="948">
      <c r="F948" s="86"/>
    </row>
    <row r="949">
      <c r="F949" s="86"/>
    </row>
    <row r="950">
      <c r="F950" s="86"/>
    </row>
    <row r="951">
      <c r="F951" s="86"/>
    </row>
    <row r="952">
      <c r="F952" s="86"/>
    </row>
    <row r="953">
      <c r="F953" s="86"/>
    </row>
    <row r="954">
      <c r="F954" s="86"/>
    </row>
    <row r="955">
      <c r="F955" s="86"/>
    </row>
    <row r="956">
      <c r="F956" s="86"/>
    </row>
    <row r="957">
      <c r="F957" s="86"/>
    </row>
    <row r="958">
      <c r="F958" s="86"/>
    </row>
    <row r="959">
      <c r="F959" s="86"/>
    </row>
    <row r="960">
      <c r="F960" s="86"/>
    </row>
    <row r="961">
      <c r="F961" s="86"/>
    </row>
    <row r="962">
      <c r="F962" s="86"/>
    </row>
    <row r="963">
      <c r="F963" s="86"/>
    </row>
    <row r="964">
      <c r="F964" s="86"/>
    </row>
    <row r="965">
      <c r="F965" s="86"/>
    </row>
    <row r="966">
      <c r="F966" s="86"/>
    </row>
    <row r="967">
      <c r="F967" s="86"/>
    </row>
    <row r="968">
      <c r="F968" s="86"/>
    </row>
    <row r="969">
      <c r="F969" s="86"/>
    </row>
    <row r="970">
      <c r="F970" s="86"/>
    </row>
    <row r="971">
      <c r="F971" s="86"/>
    </row>
    <row r="972">
      <c r="F972" s="86"/>
    </row>
    <row r="973">
      <c r="F973" s="86"/>
    </row>
    <row r="974">
      <c r="F974" s="86"/>
    </row>
    <row r="975">
      <c r="F975" s="86"/>
    </row>
    <row r="976">
      <c r="F976" s="86"/>
    </row>
    <row r="977">
      <c r="F977" s="86"/>
    </row>
    <row r="978">
      <c r="F978" s="86"/>
    </row>
    <row r="979">
      <c r="F979" s="86"/>
    </row>
    <row r="980">
      <c r="F980" s="86"/>
    </row>
    <row r="981">
      <c r="F981" s="86"/>
    </row>
    <row r="982">
      <c r="F982" s="86"/>
    </row>
    <row r="983">
      <c r="F983" s="86"/>
    </row>
    <row r="984">
      <c r="F984" s="86"/>
    </row>
    <row r="985">
      <c r="F985" s="86"/>
    </row>
    <row r="986">
      <c r="F986" s="86"/>
    </row>
    <row r="987">
      <c r="F987" s="86"/>
    </row>
    <row r="988">
      <c r="F988" s="86"/>
    </row>
    <row r="989">
      <c r="F989" s="86"/>
    </row>
    <row r="990">
      <c r="F990" s="86"/>
    </row>
    <row r="991">
      <c r="F991" s="86"/>
    </row>
    <row r="992">
      <c r="F992" s="86"/>
    </row>
    <row r="993">
      <c r="F993" s="86"/>
    </row>
    <row r="994">
      <c r="F994" s="86"/>
    </row>
    <row r="995">
      <c r="F995" s="86"/>
    </row>
    <row r="996">
      <c r="F996" s="86"/>
    </row>
    <row r="997">
      <c r="F997" s="86"/>
    </row>
    <row r="998">
      <c r="F998" s="86"/>
    </row>
    <row r="999">
      <c r="F999" s="86"/>
    </row>
    <row r="1000">
      <c r="F1000" s="86"/>
    </row>
  </sheetData>
  <hyperlinks>
    <hyperlink r:id="rId1" ref="J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9" t="s">
        <v>28</v>
      </c>
      <c r="B1" s="48" t="s">
        <v>10</v>
      </c>
      <c r="C1" s="49" t="s">
        <v>11</v>
      </c>
      <c r="E1" s="60"/>
      <c r="F1" s="48" t="s">
        <v>10</v>
      </c>
      <c r="G1" s="49" t="s">
        <v>11</v>
      </c>
    </row>
    <row r="2">
      <c r="A2" s="55">
        <v>1.0</v>
      </c>
      <c r="B2" s="63">
        <v>-0.01998094839803913</v>
      </c>
      <c r="C2" s="63">
        <v>0.0019436345966957105</v>
      </c>
      <c r="E2" s="50" t="s">
        <v>22</v>
      </c>
      <c r="F2" s="64">
        <f t="shared" ref="F2:G2" si="1">AVERAGE(B2:B53)</f>
        <v>0.005156609599</v>
      </c>
      <c r="G2" s="65">
        <f t="shared" si="1"/>
        <v>0.003653576282</v>
      </c>
    </row>
    <row r="3">
      <c r="A3" s="55">
        <v>2.0</v>
      </c>
      <c r="B3" s="63">
        <v>-0.04153119850354068</v>
      </c>
      <c r="C3" s="63">
        <v>-0.02464454976303312</v>
      </c>
      <c r="E3" s="50" t="s">
        <v>23</v>
      </c>
      <c r="F3" s="67">
        <f t="shared" ref="F3:G3" si="2">AVEDEV(B2:B53)*52/51</f>
        <v>0.05290456529</v>
      </c>
      <c r="G3" s="67">
        <f t="shared" si="2"/>
        <v>0.04110085525</v>
      </c>
    </row>
    <row r="4">
      <c r="A4" s="55">
        <v>3.0</v>
      </c>
      <c r="B4" s="63">
        <v>0.026422857142857147</v>
      </c>
      <c r="C4" s="63">
        <v>0.04352126607319492</v>
      </c>
      <c r="E4" s="50" t="s">
        <v>24</v>
      </c>
      <c r="F4" s="67">
        <f t="shared" ref="F4:G4" si="3">_xlfn.VAR.S(B2:B53)</f>
        <v>0.004531931989</v>
      </c>
      <c r="G4" s="67">
        <f t="shared" si="3"/>
        <v>0.002370698062</v>
      </c>
    </row>
    <row r="5">
      <c r="A5" s="55">
        <v>4.0</v>
      </c>
      <c r="B5" s="63">
        <v>-0.016876025257859355</v>
      </c>
      <c r="C5" s="63">
        <v>-0.03622497616777894</v>
      </c>
      <c r="E5" s="50" t="s">
        <v>25</v>
      </c>
      <c r="F5" s="69">
        <f t="shared" ref="F5:G5" si="4">_xlfn.STDEV.S(B2:B53)</f>
        <v>0.06731962559</v>
      </c>
      <c r="G5" s="67">
        <f t="shared" si="4"/>
        <v>0.04868981477</v>
      </c>
    </row>
    <row r="6">
      <c r="A6" s="55">
        <v>5.0</v>
      </c>
      <c r="B6" s="63">
        <v>0.015842216997283533</v>
      </c>
      <c r="C6" s="63">
        <v>-0.024186046511627854</v>
      </c>
      <c r="E6" s="55" t="s">
        <v>26</v>
      </c>
      <c r="F6" s="56">
        <f t="shared" ref="F6:G6" si="5">F5/F2</f>
        <v>13.05501693</v>
      </c>
      <c r="G6" s="56">
        <f t="shared" si="5"/>
        <v>13.32661781</v>
      </c>
    </row>
    <row r="7">
      <c r="A7" s="55">
        <v>6.0</v>
      </c>
      <c r="B7" s="63">
        <v>-0.07811612197226374</v>
      </c>
      <c r="C7" s="63">
        <v>0.02969348659003826</v>
      </c>
      <c r="E7" s="87" t="s">
        <v>43</v>
      </c>
      <c r="F7" s="88">
        <v>3.56</v>
      </c>
    </row>
    <row r="8">
      <c r="A8" s="55">
        <v>7.0</v>
      </c>
      <c r="B8" s="63">
        <v>-0.012489609310058169</v>
      </c>
      <c r="C8" s="63">
        <v>-0.0057142857142856605</v>
      </c>
      <c r="E8" s="70" t="s">
        <v>44</v>
      </c>
      <c r="F8" s="89">
        <f>F2-F7/F5</f>
        <v>-52.87689627</v>
      </c>
      <c r="G8" s="89">
        <f>G2-F7/G5</f>
        <v>-73.11225407</v>
      </c>
    </row>
    <row r="9">
      <c r="A9" s="55">
        <v>8.0</v>
      </c>
      <c r="B9" s="63">
        <v>0.04845738190692001</v>
      </c>
      <c r="C9" s="63">
        <v>-0.040219378427787986</v>
      </c>
    </row>
    <row r="10">
      <c r="A10" s="55">
        <v>9.0</v>
      </c>
      <c r="B10" s="63">
        <v>0.008703296703296658</v>
      </c>
      <c r="C10" s="63">
        <v>0.01015697137580802</v>
      </c>
    </row>
    <row r="11">
      <c r="A11" s="55">
        <v>10.0</v>
      </c>
      <c r="B11" s="63">
        <v>0.05772136597159259</v>
      </c>
      <c r="C11" s="63">
        <v>0.08844221105527636</v>
      </c>
    </row>
    <row r="12">
      <c r="A12" s="55">
        <v>11.0</v>
      </c>
      <c r="B12" s="63">
        <v>0.09992584827021925</v>
      </c>
      <c r="C12" s="63">
        <v>0.03484139365574617</v>
      </c>
    </row>
    <row r="13">
      <c r="A13" s="55">
        <v>12.0</v>
      </c>
      <c r="B13" s="63">
        <v>-0.032793372078644856</v>
      </c>
      <c r="C13" s="63">
        <v>-0.035122930255895635</v>
      </c>
    </row>
    <row r="14">
      <c r="A14" s="55">
        <v>13.0</v>
      </c>
      <c r="B14" s="63">
        <v>-0.05860029800707758</v>
      </c>
      <c r="C14" s="63">
        <v>0.05060622034791789</v>
      </c>
    </row>
    <row r="15">
      <c r="A15" s="55">
        <v>14.0</v>
      </c>
      <c r="B15" s="63">
        <v>-0.05922551252847385</v>
      </c>
      <c r="C15" s="63">
        <v>0.03831417624521073</v>
      </c>
    </row>
    <row r="16">
      <c r="A16" s="55">
        <v>15.0</v>
      </c>
      <c r="B16" s="63">
        <v>0.05266070275753937</v>
      </c>
      <c r="C16" s="63">
        <v>-0.0010934937124112468</v>
      </c>
    </row>
    <row r="17">
      <c r="A17" s="55">
        <v>16.0</v>
      </c>
      <c r="B17" s="63">
        <v>-0.012724499783751736</v>
      </c>
      <c r="C17" s="63">
        <v>-0.01135135135135132</v>
      </c>
    </row>
    <row r="18">
      <c r="A18" s="55">
        <v>17.0</v>
      </c>
      <c r="B18" s="63">
        <v>0.062444073617257956</v>
      </c>
      <c r="C18" s="63">
        <v>0.01816180517336275</v>
      </c>
    </row>
    <row r="19">
      <c r="A19" s="55">
        <v>18.0</v>
      </c>
      <c r="B19" s="63">
        <v>-0.038015029197589686</v>
      </c>
      <c r="C19" s="63">
        <v>-0.03556263269639075</v>
      </c>
    </row>
    <row r="20">
      <c r="A20" s="55">
        <v>19.0</v>
      </c>
      <c r="B20" s="63">
        <v>-0.02400090826521343</v>
      </c>
      <c r="C20" s="63">
        <v>0.017278617710583248</v>
      </c>
    </row>
    <row r="21">
      <c r="A21" s="55">
        <v>20.0</v>
      </c>
      <c r="B21" s="63">
        <v>0.03363297110803386</v>
      </c>
      <c r="C21" s="63">
        <v>-0.057985757884028516</v>
      </c>
    </row>
    <row r="22">
      <c r="A22" s="55">
        <v>21.0</v>
      </c>
      <c r="B22" s="63">
        <v>0.07609738849320603</v>
      </c>
      <c r="C22" s="63">
        <v>-0.047480620155038816</v>
      </c>
    </row>
    <row r="23">
      <c r="A23" s="55">
        <v>22.0</v>
      </c>
      <c r="B23" s="63">
        <v>0.12854862615437243</v>
      </c>
      <c r="C23" s="63">
        <v>0.0177514792899408</v>
      </c>
    </row>
    <row r="24">
      <c r="A24" s="55">
        <v>23.0</v>
      </c>
      <c r="B24" s="63">
        <v>0.05082816665169069</v>
      </c>
      <c r="C24" s="63">
        <v>-0.00782778864970643</v>
      </c>
    </row>
    <row r="25">
      <c r="A25" s="55">
        <v>24.0</v>
      </c>
      <c r="B25" s="63">
        <v>-0.018058292403164575</v>
      </c>
      <c r="C25" s="63">
        <v>-0.02666666666666664</v>
      </c>
    </row>
    <row r="26">
      <c r="A26" s="55">
        <v>25.0</v>
      </c>
      <c r="B26" s="63">
        <v>0.028587850919651468</v>
      </c>
      <c r="C26" s="63">
        <v>0.029411764705882353</v>
      </c>
    </row>
    <row r="27">
      <c r="A27" s="55">
        <v>26.0</v>
      </c>
      <c r="B27" s="63">
        <v>0.0027605035643865467</v>
      </c>
      <c r="C27" s="63">
        <v>0.044012282497441116</v>
      </c>
    </row>
    <row r="28">
      <c r="A28" s="55">
        <v>27.0</v>
      </c>
      <c r="B28" s="63">
        <v>0.08928394409014302</v>
      </c>
      <c r="C28" s="63">
        <v>0.06951286261631098</v>
      </c>
    </row>
    <row r="29">
      <c r="A29" s="55">
        <v>28.0</v>
      </c>
      <c r="B29" s="63">
        <v>-0.04249193191166237</v>
      </c>
      <c r="C29" s="63">
        <v>-0.1087804878048781</v>
      </c>
    </row>
    <row r="30">
      <c r="A30" s="55">
        <v>29.0</v>
      </c>
      <c r="B30" s="63">
        <v>-0.0412255422417715</v>
      </c>
      <c r="C30" s="63">
        <v>0.11050920910075843</v>
      </c>
    </row>
    <row r="31">
      <c r="A31" s="55">
        <v>30.0</v>
      </c>
      <c r="B31" s="63">
        <v>0.05148161143185221</v>
      </c>
      <c r="C31" s="63">
        <v>-0.053333333333333365</v>
      </c>
    </row>
    <row r="32">
      <c r="A32" s="55">
        <v>31.0</v>
      </c>
      <c r="B32" s="63">
        <v>-0.0058347867448867346</v>
      </c>
      <c r="C32" s="63">
        <v>0.05519480519480513</v>
      </c>
    </row>
    <row r="33">
      <c r="A33" s="55">
        <v>32.0</v>
      </c>
      <c r="B33" s="63">
        <v>-0.025584772734295252</v>
      </c>
      <c r="C33" s="63">
        <v>-0.013347570742124932</v>
      </c>
    </row>
    <row r="34">
      <c r="A34" s="55">
        <v>33.0</v>
      </c>
      <c r="B34" s="63">
        <v>0.004562950086913243</v>
      </c>
      <c r="C34" s="63">
        <v>0.05461711711711721</v>
      </c>
    </row>
    <row r="35">
      <c r="A35" s="55">
        <v>34.0</v>
      </c>
      <c r="B35" s="63">
        <v>-0.009683071531769626</v>
      </c>
      <c r="C35" s="63">
        <v>-0.01769911504424788</v>
      </c>
    </row>
    <row r="36">
      <c r="A36" s="55">
        <v>35.0</v>
      </c>
      <c r="B36" s="63">
        <v>0.10222267398522741</v>
      </c>
      <c r="C36" s="63">
        <v>-0.03004291845493559</v>
      </c>
    </row>
    <row r="37">
      <c r="A37" s="55">
        <v>36.0</v>
      </c>
      <c r="B37" s="63">
        <v>-0.14812676788085202</v>
      </c>
      <c r="C37" s="63">
        <v>-0.039175257731958735</v>
      </c>
    </row>
    <row r="38">
      <c r="A38" s="55">
        <v>37.0</v>
      </c>
      <c r="B38" s="63">
        <v>0.020981906052926283</v>
      </c>
      <c r="C38" s="63">
        <v>0.07933681985089569</v>
      </c>
    </row>
    <row r="39">
      <c r="A39" s="55">
        <v>38.0</v>
      </c>
      <c r="B39" s="63">
        <v>-0.030401737242128243</v>
      </c>
      <c r="C39" s="63">
        <v>-0.07445932028836241</v>
      </c>
    </row>
    <row r="40">
      <c r="A40" s="55">
        <v>39.0</v>
      </c>
      <c r="B40" s="63">
        <v>0.17340575336954345</v>
      </c>
      <c r="C40" s="63">
        <v>0.01367574903434584</v>
      </c>
    </row>
    <row r="41">
      <c r="A41" s="55">
        <v>40.0</v>
      </c>
      <c r="B41" s="63">
        <v>0.03847359075241117</v>
      </c>
      <c r="C41" s="63">
        <v>0.03400259067357519</v>
      </c>
    </row>
    <row r="42">
      <c r="A42" s="55">
        <v>41.0</v>
      </c>
      <c r="B42" s="63">
        <v>0.007931216002807478</v>
      </c>
      <c r="C42" s="63">
        <v>-0.01645609937360651</v>
      </c>
    </row>
    <row r="43">
      <c r="A43" s="55">
        <v>42.0</v>
      </c>
      <c r="B43" s="63">
        <v>0.18055267846045484</v>
      </c>
      <c r="C43" s="63">
        <v>0.09740184084818827</v>
      </c>
    </row>
    <row r="44">
      <c r="A44" s="55">
        <v>43.0</v>
      </c>
      <c r="B44" s="63">
        <v>-0.04335935951805318</v>
      </c>
      <c r="C44" s="63">
        <v>0.04276515611711816</v>
      </c>
    </row>
    <row r="45">
      <c r="A45" s="55">
        <v>44.0</v>
      </c>
      <c r="B45" s="63">
        <v>0.05379442843419786</v>
      </c>
      <c r="C45" s="63">
        <v>-0.027183548043966402</v>
      </c>
    </row>
    <row r="46">
      <c r="A46" s="55">
        <v>45.0</v>
      </c>
      <c r="B46" s="63">
        <v>-0.09151963574274333</v>
      </c>
      <c r="C46" s="63">
        <v>-0.09216738197424897</v>
      </c>
    </row>
    <row r="47">
      <c r="A47" s="55">
        <v>46.0</v>
      </c>
      <c r="B47" s="63">
        <v>0.059667886293273305</v>
      </c>
      <c r="C47" s="63">
        <v>-0.042924625179708284</v>
      </c>
    </row>
    <row r="48">
      <c r="A48" s="55">
        <v>47.0</v>
      </c>
      <c r="B48" s="63">
        <v>-0.0050804064325145285</v>
      </c>
      <c r="C48" s="63">
        <v>-0.05474665113570181</v>
      </c>
    </row>
    <row r="49">
      <c r="A49" s="55">
        <v>48.0</v>
      </c>
      <c r="B49" s="63">
        <v>-0.04831156965013144</v>
      </c>
      <c r="C49" s="63">
        <v>-0.011703760552570979</v>
      </c>
    </row>
    <row r="50">
      <c r="A50" s="55">
        <v>49.0</v>
      </c>
      <c r="B50" s="63">
        <v>-0.1034541606935627</v>
      </c>
      <c r="C50" s="63">
        <v>0.03649199562493787</v>
      </c>
    </row>
    <row r="51">
      <c r="A51" s="55">
        <v>50.0</v>
      </c>
      <c r="B51" s="63">
        <v>-0.13268206039076375</v>
      </c>
      <c r="C51" s="63">
        <v>0.04586106489184689</v>
      </c>
    </row>
    <row r="52">
      <c r="A52" s="55">
        <v>51.0</v>
      </c>
      <c r="B52" s="63">
        <v>-0.050696942446043065</v>
      </c>
      <c r="C52" s="63">
        <v>-0.01161475999588868</v>
      </c>
    </row>
    <row r="53">
      <c r="A53" s="55">
        <v>52.0</v>
      </c>
      <c r="B53" s="63">
        <v>-0.015983629224047426</v>
      </c>
      <c r="C53" s="63">
        <v>0.07419675389201738</v>
      </c>
    </row>
  </sheetData>
  <hyperlinks>
    <hyperlink r:id="rId1" ref="C1"/>
    <hyperlink r:id="rId2" ref="G1"/>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9" t="s">
        <v>28</v>
      </c>
      <c r="B1" s="48" t="s">
        <v>10</v>
      </c>
      <c r="C1" s="49" t="s">
        <v>11</v>
      </c>
      <c r="F1" s="48" t="s">
        <v>10</v>
      </c>
      <c r="G1" s="49" t="s">
        <v>11</v>
      </c>
    </row>
    <row r="2">
      <c r="A2" s="55">
        <v>1.0</v>
      </c>
      <c r="B2" s="63">
        <v>-0.01998094839803913</v>
      </c>
      <c r="C2" s="63">
        <v>0.0019436345966957105</v>
      </c>
      <c r="E2" s="90" t="s">
        <v>45</v>
      </c>
      <c r="F2" s="91">
        <f t="shared" ref="F2:G2" si="1">_xlfn.STDEV.S(B:B)</f>
        <v>0.06731962559</v>
      </c>
      <c r="G2" s="91">
        <f t="shared" si="1"/>
        <v>0.04868981477</v>
      </c>
    </row>
    <row r="3">
      <c r="A3" s="55">
        <v>2.0</v>
      </c>
      <c r="B3" s="63">
        <v>-0.04153119850354068</v>
      </c>
      <c r="C3" s="63">
        <v>-0.02464454976303312</v>
      </c>
      <c r="E3" s="90" t="s">
        <v>46</v>
      </c>
      <c r="F3" s="91">
        <f t="shared" ref="F3:G3" si="2">_xlfn.STDEV.P(B:B)</f>
        <v>0.06666917917</v>
      </c>
      <c r="G3" s="91">
        <f t="shared" si="2"/>
        <v>0.04821937074</v>
      </c>
    </row>
    <row r="4">
      <c r="A4" s="55">
        <v>3.0</v>
      </c>
      <c r="B4" s="63">
        <v>0.026422857142857147</v>
      </c>
      <c r="C4" s="63">
        <v>0.04352126607319492</v>
      </c>
      <c r="E4" s="90" t="s">
        <v>47</v>
      </c>
      <c r="F4" s="92">
        <v>51.0</v>
      </c>
      <c r="G4" s="92">
        <v>51.0</v>
      </c>
    </row>
    <row r="5">
      <c r="A5" s="55">
        <v>4.0</v>
      </c>
      <c r="B5" s="63">
        <v>-0.016876025257859355</v>
      </c>
      <c r="C5" s="63">
        <v>-0.03622497616777894</v>
      </c>
      <c r="E5" s="90" t="s">
        <v>48</v>
      </c>
      <c r="F5" s="92">
        <v>50.0</v>
      </c>
      <c r="G5" s="93">
        <v>50.0</v>
      </c>
    </row>
    <row r="6">
      <c r="A6" s="55">
        <v>5.0</v>
      </c>
      <c r="B6" s="63">
        <v>0.015842216997283533</v>
      </c>
      <c r="C6" s="63">
        <v>-0.024186046511627854</v>
      </c>
      <c r="E6" s="94" t="s">
        <v>49</v>
      </c>
      <c r="F6" s="91">
        <f t="shared" ref="F6:G6" si="3">F3^2</f>
        <v>0.004444779451</v>
      </c>
      <c r="G6" s="91">
        <f t="shared" si="3"/>
        <v>0.002325107715</v>
      </c>
    </row>
    <row r="7">
      <c r="A7" s="55">
        <v>6.0</v>
      </c>
      <c r="B7" s="63">
        <v>-0.07811612197226374</v>
      </c>
      <c r="C7" s="63">
        <v>0.02969348659003826</v>
      </c>
      <c r="E7" s="94" t="s">
        <v>50</v>
      </c>
      <c r="F7" s="95">
        <f t="shared" ref="F7:G7" si="4">F5*F8/F6</f>
        <v>50.98039216</v>
      </c>
      <c r="G7" s="95">
        <f t="shared" si="4"/>
        <v>50.98039216</v>
      </c>
    </row>
    <row r="8">
      <c r="A8" s="55">
        <v>7.0</v>
      </c>
      <c r="B8" s="63">
        <v>-0.012489609310058169</v>
      </c>
      <c r="C8" s="63">
        <v>-0.0057142857142856605</v>
      </c>
      <c r="E8" s="94" t="s">
        <v>51</v>
      </c>
      <c r="F8" s="93">
        <f t="shared" ref="F8:G8" si="5">F2^2</f>
        <v>0.004531931989</v>
      </c>
      <c r="G8" s="93">
        <f t="shared" si="5"/>
        <v>0.002370698062</v>
      </c>
    </row>
    <row r="9">
      <c r="A9" s="55">
        <v>8.0</v>
      </c>
      <c r="B9" s="63">
        <v>0.04845738190692001</v>
      </c>
      <c r="C9" s="63">
        <v>-0.040219378427787986</v>
      </c>
      <c r="E9" s="94" t="s">
        <v>52</v>
      </c>
      <c r="F9" s="94" t="s">
        <v>53</v>
      </c>
      <c r="G9" s="94" t="s">
        <v>53</v>
      </c>
    </row>
    <row r="10">
      <c r="A10" s="55">
        <v>9.0</v>
      </c>
      <c r="B10" s="63">
        <v>0.008703296703296658</v>
      </c>
      <c r="C10" s="63">
        <v>0.01015697137580802</v>
      </c>
      <c r="E10" s="94" t="s">
        <v>54</v>
      </c>
      <c r="F10" s="93">
        <f t="shared" ref="F10:G10" si="6">2*_xlfn.CHISQ.DIST.RT(F7,F5)</f>
        <v>0.8697094828</v>
      </c>
      <c r="G10" s="93">
        <f t="shared" si="6"/>
        <v>0.8697094828</v>
      </c>
    </row>
    <row r="11">
      <c r="A11" s="55">
        <v>10.0</v>
      </c>
      <c r="B11" s="63">
        <v>0.05772136597159259</v>
      </c>
      <c r="C11" s="63">
        <v>0.08844221105527636</v>
      </c>
    </row>
    <row r="12">
      <c r="A12" s="55">
        <v>11.0</v>
      </c>
      <c r="B12" s="63">
        <v>0.09992584827021925</v>
      </c>
      <c r="C12" s="63">
        <v>0.03484139365574617</v>
      </c>
      <c r="E12" s="94" t="s">
        <v>55</v>
      </c>
      <c r="F12" s="94"/>
      <c r="G12" s="94"/>
      <c r="H12" s="94"/>
      <c r="I12" s="94"/>
      <c r="J12" s="94"/>
      <c r="K12" s="94"/>
      <c r="L12" s="94"/>
    </row>
    <row r="13">
      <c r="A13" s="55">
        <v>12.0</v>
      </c>
      <c r="B13" s="63">
        <v>-0.032793372078644856</v>
      </c>
      <c r="C13" s="63">
        <v>-0.035122930255895635</v>
      </c>
      <c r="E13" s="94" t="s">
        <v>56</v>
      </c>
      <c r="F13" s="94"/>
      <c r="G13" s="94"/>
      <c r="H13" s="94"/>
      <c r="I13" s="94"/>
      <c r="J13" s="94"/>
      <c r="K13" s="94"/>
      <c r="L13" s="94"/>
    </row>
    <row r="14">
      <c r="A14" s="55">
        <v>13.0</v>
      </c>
      <c r="B14" s="63">
        <v>-0.05860029800707758</v>
      </c>
      <c r="C14" s="63">
        <v>0.05060622034791789</v>
      </c>
    </row>
    <row r="15">
      <c r="A15" s="55">
        <v>14.0</v>
      </c>
      <c r="B15" s="63">
        <v>-0.05922551252847385</v>
      </c>
      <c r="C15" s="63">
        <v>0.03831417624521073</v>
      </c>
    </row>
    <row r="16">
      <c r="A16" s="55">
        <v>15.0</v>
      </c>
      <c r="B16" s="63">
        <v>0.05266070275753937</v>
      </c>
      <c r="C16" s="63">
        <v>-0.0010934937124112468</v>
      </c>
    </row>
    <row r="17">
      <c r="A17" s="55">
        <v>16.0</v>
      </c>
      <c r="B17" s="63">
        <v>-0.012724499783751736</v>
      </c>
      <c r="C17" s="63">
        <v>-0.01135135135135132</v>
      </c>
    </row>
    <row r="18">
      <c r="A18" s="55">
        <v>17.0</v>
      </c>
      <c r="B18" s="63">
        <v>0.062444073617257956</v>
      </c>
      <c r="C18" s="63">
        <v>0.01816180517336275</v>
      </c>
    </row>
    <row r="19">
      <c r="A19" s="55">
        <v>18.0</v>
      </c>
      <c r="B19" s="63">
        <v>-0.038015029197589686</v>
      </c>
      <c r="C19" s="63">
        <v>-0.03556263269639075</v>
      </c>
    </row>
    <row r="20">
      <c r="A20" s="55">
        <v>19.0</v>
      </c>
      <c r="B20" s="63">
        <v>-0.02400090826521343</v>
      </c>
      <c r="C20" s="63">
        <v>0.017278617710583248</v>
      </c>
    </row>
    <row r="21">
      <c r="A21" s="55">
        <v>20.0</v>
      </c>
      <c r="B21" s="63">
        <v>0.03363297110803386</v>
      </c>
      <c r="C21" s="63">
        <v>-0.057985757884028516</v>
      </c>
    </row>
    <row r="22">
      <c r="A22" s="55">
        <v>21.0</v>
      </c>
      <c r="B22" s="63">
        <v>0.07609738849320603</v>
      </c>
      <c r="C22" s="63">
        <v>-0.047480620155038816</v>
      </c>
    </row>
    <row r="23">
      <c r="A23" s="55">
        <v>22.0</v>
      </c>
      <c r="B23" s="63">
        <v>0.12854862615437243</v>
      </c>
      <c r="C23" s="63">
        <v>0.0177514792899408</v>
      </c>
    </row>
    <row r="24">
      <c r="A24" s="55">
        <v>23.0</v>
      </c>
      <c r="B24" s="63">
        <v>0.05082816665169069</v>
      </c>
      <c r="C24" s="63">
        <v>-0.00782778864970643</v>
      </c>
    </row>
    <row r="25">
      <c r="A25" s="55">
        <v>24.0</v>
      </c>
      <c r="B25" s="63">
        <v>-0.018058292403164575</v>
      </c>
      <c r="C25" s="63">
        <v>-0.02666666666666664</v>
      </c>
    </row>
    <row r="26">
      <c r="A26" s="55">
        <v>25.0</v>
      </c>
      <c r="B26" s="63">
        <v>0.028587850919651468</v>
      </c>
      <c r="C26" s="63">
        <v>0.029411764705882353</v>
      </c>
    </row>
    <row r="27">
      <c r="A27" s="55">
        <v>26.0</v>
      </c>
      <c r="B27" s="63">
        <v>0.0027605035643865467</v>
      </c>
      <c r="C27" s="63">
        <v>0.044012282497441116</v>
      </c>
    </row>
    <row r="28">
      <c r="A28" s="55">
        <v>27.0</v>
      </c>
      <c r="B28" s="63">
        <v>0.08928394409014302</v>
      </c>
      <c r="C28" s="63">
        <v>0.06951286261631098</v>
      </c>
    </row>
    <row r="29">
      <c r="A29" s="55">
        <v>28.0</v>
      </c>
      <c r="B29" s="63">
        <v>-0.04249193191166237</v>
      </c>
      <c r="C29" s="63">
        <v>-0.1087804878048781</v>
      </c>
    </row>
    <row r="30">
      <c r="A30" s="55">
        <v>29.0</v>
      </c>
      <c r="B30" s="63">
        <v>-0.0412255422417715</v>
      </c>
      <c r="C30" s="63">
        <v>0.11050920910075843</v>
      </c>
    </row>
    <row r="31">
      <c r="A31" s="55">
        <v>30.0</v>
      </c>
      <c r="B31" s="63">
        <v>0.05148161143185221</v>
      </c>
      <c r="C31" s="63">
        <v>-0.053333333333333365</v>
      </c>
    </row>
    <row r="32">
      <c r="A32" s="55">
        <v>31.0</v>
      </c>
      <c r="B32" s="63">
        <v>-0.0058347867448867346</v>
      </c>
      <c r="C32" s="63">
        <v>0.05519480519480513</v>
      </c>
    </row>
    <row r="33">
      <c r="A33" s="55">
        <v>32.0</v>
      </c>
      <c r="B33" s="63">
        <v>-0.025584772734295252</v>
      </c>
      <c r="C33" s="63">
        <v>-0.013347570742124932</v>
      </c>
    </row>
    <row r="34">
      <c r="A34" s="55">
        <v>33.0</v>
      </c>
      <c r="B34" s="63">
        <v>0.004562950086913243</v>
      </c>
      <c r="C34" s="63">
        <v>0.05461711711711721</v>
      </c>
    </row>
    <row r="35">
      <c r="A35" s="55">
        <v>34.0</v>
      </c>
      <c r="B35" s="63">
        <v>-0.009683071531769626</v>
      </c>
      <c r="C35" s="63">
        <v>-0.01769911504424788</v>
      </c>
    </row>
    <row r="36">
      <c r="A36" s="55">
        <v>35.0</v>
      </c>
      <c r="B36" s="63">
        <v>0.10222267398522741</v>
      </c>
      <c r="C36" s="63">
        <v>-0.03004291845493559</v>
      </c>
    </row>
    <row r="37">
      <c r="A37" s="55">
        <v>36.0</v>
      </c>
      <c r="B37" s="63">
        <v>-0.14812676788085202</v>
      </c>
      <c r="C37" s="63">
        <v>-0.039175257731958735</v>
      </c>
    </row>
    <row r="38">
      <c r="A38" s="55">
        <v>37.0</v>
      </c>
      <c r="B38" s="63">
        <v>0.020981906052926283</v>
      </c>
      <c r="C38" s="63">
        <v>0.07933681985089569</v>
      </c>
    </row>
    <row r="39">
      <c r="A39" s="55">
        <v>38.0</v>
      </c>
      <c r="B39" s="63">
        <v>-0.030401737242128243</v>
      </c>
      <c r="C39" s="63">
        <v>-0.07445932028836241</v>
      </c>
    </row>
    <row r="40">
      <c r="A40" s="55">
        <v>39.0</v>
      </c>
      <c r="B40" s="63">
        <v>0.17340575336954345</v>
      </c>
      <c r="C40" s="63">
        <v>0.01367574903434584</v>
      </c>
    </row>
    <row r="41">
      <c r="A41" s="55">
        <v>40.0</v>
      </c>
      <c r="B41" s="63">
        <v>0.03847359075241117</v>
      </c>
      <c r="C41" s="63">
        <v>0.03400259067357519</v>
      </c>
    </row>
    <row r="42">
      <c r="A42" s="55">
        <v>41.0</v>
      </c>
      <c r="B42" s="63">
        <v>0.007931216002807478</v>
      </c>
      <c r="C42" s="63">
        <v>-0.01645609937360651</v>
      </c>
    </row>
    <row r="43">
      <c r="A43" s="55">
        <v>42.0</v>
      </c>
      <c r="B43" s="63">
        <v>0.18055267846045484</v>
      </c>
      <c r="C43" s="63">
        <v>0.09740184084818827</v>
      </c>
    </row>
    <row r="44">
      <c r="A44" s="55">
        <v>43.0</v>
      </c>
      <c r="B44" s="63">
        <v>-0.04335935951805318</v>
      </c>
      <c r="C44" s="63">
        <v>0.04276515611711816</v>
      </c>
    </row>
    <row r="45">
      <c r="A45" s="55">
        <v>44.0</v>
      </c>
      <c r="B45" s="63">
        <v>0.05379442843419786</v>
      </c>
      <c r="C45" s="63">
        <v>-0.027183548043966402</v>
      </c>
    </row>
    <row r="46">
      <c r="A46" s="55">
        <v>45.0</v>
      </c>
      <c r="B46" s="63">
        <v>-0.09151963574274333</v>
      </c>
      <c r="C46" s="63">
        <v>-0.09216738197424897</v>
      </c>
    </row>
    <row r="47">
      <c r="A47" s="55">
        <v>46.0</v>
      </c>
      <c r="B47" s="63">
        <v>0.059667886293273305</v>
      </c>
      <c r="C47" s="63">
        <v>-0.042924625179708284</v>
      </c>
    </row>
    <row r="48">
      <c r="A48" s="55">
        <v>47.0</v>
      </c>
      <c r="B48" s="63">
        <v>-0.0050804064325145285</v>
      </c>
      <c r="C48" s="63">
        <v>-0.05474665113570181</v>
      </c>
    </row>
    <row r="49">
      <c r="A49" s="55">
        <v>48.0</v>
      </c>
      <c r="B49" s="63">
        <v>-0.04831156965013144</v>
      </c>
      <c r="C49" s="63">
        <v>-0.011703760552570979</v>
      </c>
    </row>
    <row r="50">
      <c r="A50" s="55">
        <v>49.0</v>
      </c>
      <c r="B50" s="63">
        <v>-0.1034541606935627</v>
      </c>
      <c r="C50" s="63">
        <v>0.03649199562493787</v>
      </c>
    </row>
    <row r="51">
      <c r="A51" s="55">
        <v>50.0</v>
      </c>
      <c r="B51" s="63">
        <v>-0.13268206039076375</v>
      </c>
      <c r="C51" s="63">
        <v>0.04586106489184689</v>
      </c>
    </row>
    <row r="52">
      <c r="A52" s="55">
        <v>51.0</v>
      </c>
      <c r="B52" s="63">
        <v>-0.050696942446043065</v>
      </c>
      <c r="C52" s="63">
        <v>-0.01161475999588868</v>
      </c>
    </row>
    <row r="53">
      <c r="A53" s="55">
        <v>52.0</v>
      </c>
      <c r="B53" s="63">
        <v>-0.015983629224047426</v>
      </c>
      <c r="C53" s="63">
        <v>0.07419675389201738</v>
      </c>
    </row>
  </sheetData>
  <hyperlinks>
    <hyperlink r:id="rId1" ref="C1"/>
    <hyperlink r:id="rId2" ref="G1"/>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9" t="s">
        <v>28</v>
      </c>
      <c r="B1" s="48" t="s">
        <v>10</v>
      </c>
      <c r="C1" s="49" t="s">
        <v>11</v>
      </c>
      <c r="F1" s="48" t="s">
        <v>10</v>
      </c>
      <c r="G1" s="49" t="s">
        <v>11</v>
      </c>
    </row>
    <row r="2">
      <c r="A2" s="55">
        <v>1.0</v>
      </c>
      <c r="B2" s="63">
        <v>-0.01998094839803913</v>
      </c>
      <c r="C2" s="63">
        <v>0.0019436345966957105</v>
      </c>
      <c r="E2" s="90" t="s">
        <v>45</v>
      </c>
      <c r="F2" s="91">
        <f t="shared" ref="F2:G2" si="1">_xlfn.STDEV.S(B:B)</f>
        <v>0.06731962559</v>
      </c>
      <c r="G2" s="91">
        <f t="shared" si="1"/>
        <v>0.04868981477</v>
      </c>
    </row>
    <row r="3">
      <c r="A3" s="55">
        <v>2.0</v>
      </c>
      <c r="B3" s="63">
        <v>-0.04153119850354068</v>
      </c>
      <c r="C3" s="63">
        <v>-0.02464454976303312</v>
      </c>
      <c r="E3" s="90" t="s">
        <v>47</v>
      </c>
      <c r="F3" s="92">
        <v>51.0</v>
      </c>
      <c r="G3" s="92">
        <v>51.0</v>
      </c>
    </row>
    <row r="4">
      <c r="A4" s="55">
        <v>3.0</v>
      </c>
      <c r="B4" s="63">
        <v>0.026422857142857147</v>
      </c>
      <c r="C4" s="63">
        <v>0.04352126607319492</v>
      </c>
      <c r="E4" s="90" t="s">
        <v>48</v>
      </c>
      <c r="F4" s="92">
        <v>50.0</v>
      </c>
      <c r="G4" s="93">
        <v>50.0</v>
      </c>
    </row>
    <row r="5">
      <c r="A5" s="55">
        <v>4.0</v>
      </c>
      <c r="B5" s="63">
        <v>-0.016876025257859355</v>
      </c>
      <c r="C5" s="63">
        <v>-0.03622497616777894</v>
      </c>
      <c r="E5" s="94" t="s">
        <v>52</v>
      </c>
      <c r="F5" s="94" t="s">
        <v>53</v>
      </c>
      <c r="G5" s="94"/>
    </row>
    <row r="6">
      <c r="A6" s="55">
        <v>5.0</v>
      </c>
      <c r="B6" s="63">
        <v>0.015842216997283533</v>
      </c>
      <c r="C6" s="63">
        <v>-0.024186046511627854</v>
      </c>
      <c r="E6" s="94" t="s">
        <v>57</v>
      </c>
      <c r="F6" s="93">
        <f>_xlfn.VAR.S(B:B)/_xlfn.VAR.S(C:C)</f>
        <v>1.911644533</v>
      </c>
      <c r="G6" s="94"/>
    </row>
    <row r="7">
      <c r="A7" s="55">
        <v>6.0</v>
      </c>
      <c r="B7" s="63">
        <v>-0.07811612197226374</v>
      </c>
      <c r="C7" s="63">
        <v>0.02969348659003826</v>
      </c>
      <c r="E7" s="94" t="s">
        <v>58</v>
      </c>
      <c r="F7" s="93">
        <f>_xlfn.F.DIST.RT(F6,F4,G4)</f>
        <v>0.01190782441</v>
      </c>
      <c r="G7" s="94"/>
    </row>
    <row r="8">
      <c r="A8" s="55">
        <v>7.0</v>
      </c>
      <c r="B8" s="63">
        <v>-0.012489609310058169</v>
      </c>
      <c r="C8" s="63">
        <v>-0.0057142857142856605</v>
      </c>
    </row>
    <row r="9">
      <c r="A9" s="55">
        <v>8.0</v>
      </c>
      <c r="B9" s="63">
        <v>0.04845738190692001</v>
      </c>
      <c r="C9" s="63">
        <v>-0.040219378427787986</v>
      </c>
      <c r="E9" s="96" t="s">
        <v>59</v>
      </c>
      <c r="F9" s="94"/>
      <c r="G9" s="94"/>
      <c r="H9" s="94"/>
      <c r="I9" s="94"/>
      <c r="J9" s="94"/>
      <c r="K9" s="94"/>
      <c r="L9" s="94"/>
      <c r="M9" s="94"/>
      <c r="N9" s="94"/>
      <c r="O9" s="94"/>
      <c r="P9" s="94"/>
    </row>
    <row r="10">
      <c r="A10" s="55">
        <v>9.0</v>
      </c>
      <c r="B10" s="63">
        <v>0.008703296703296658</v>
      </c>
      <c r="C10" s="63">
        <v>0.01015697137580802</v>
      </c>
      <c r="E10" s="94"/>
      <c r="F10" s="94"/>
      <c r="G10" s="94"/>
      <c r="H10" s="94"/>
      <c r="I10" s="94"/>
      <c r="J10" s="94"/>
      <c r="K10" s="94"/>
      <c r="L10" s="94"/>
      <c r="M10" s="94"/>
      <c r="N10" s="94"/>
      <c r="O10" s="94"/>
      <c r="P10" s="94"/>
    </row>
    <row r="11">
      <c r="A11" s="55">
        <v>10.0</v>
      </c>
      <c r="B11" s="63">
        <v>0.05772136597159259</v>
      </c>
      <c r="C11" s="63">
        <v>0.08844221105527636</v>
      </c>
    </row>
    <row r="12">
      <c r="A12" s="55">
        <v>11.0</v>
      </c>
      <c r="B12" s="63">
        <v>0.09992584827021925</v>
      </c>
      <c r="C12" s="63">
        <v>0.03484139365574617</v>
      </c>
    </row>
    <row r="13">
      <c r="A13" s="55">
        <v>12.0</v>
      </c>
      <c r="B13" s="63">
        <v>-0.032793372078644856</v>
      </c>
      <c r="C13" s="63">
        <v>-0.035122930255895635</v>
      </c>
    </row>
    <row r="14">
      <c r="A14" s="55">
        <v>13.0</v>
      </c>
      <c r="B14" s="63">
        <v>-0.05860029800707758</v>
      </c>
      <c r="C14" s="63">
        <v>0.05060622034791789</v>
      </c>
    </row>
    <row r="15">
      <c r="A15" s="55">
        <v>14.0</v>
      </c>
      <c r="B15" s="63">
        <v>-0.05922551252847385</v>
      </c>
      <c r="C15" s="63">
        <v>0.03831417624521073</v>
      </c>
    </row>
    <row r="16">
      <c r="A16" s="55">
        <v>15.0</v>
      </c>
      <c r="B16" s="63">
        <v>0.05266070275753937</v>
      </c>
      <c r="C16" s="63">
        <v>-0.0010934937124112468</v>
      </c>
    </row>
    <row r="17">
      <c r="A17" s="55">
        <v>16.0</v>
      </c>
      <c r="B17" s="63">
        <v>-0.012724499783751736</v>
      </c>
      <c r="C17" s="63">
        <v>-0.01135135135135132</v>
      </c>
    </row>
    <row r="18">
      <c r="A18" s="55">
        <v>17.0</v>
      </c>
      <c r="B18" s="63">
        <v>0.062444073617257956</v>
      </c>
      <c r="C18" s="63">
        <v>0.01816180517336275</v>
      </c>
    </row>
    <row r="19">
      <c r="A19" s="55">
        <v>18.0</v>
      </c>
      <c r="B19" s="63">
        <v>-0.038015029197589686</v>
      </c>
      <c r="C19" s="63">
        <v>-0.03556263269639075</v>
      </c>
    </row>
    <row r="20">
      <c r="A20" s="55">
        <v>19.0</v>
      </c>
      <c r="B20" s="63">
        <v>-0.02400090826521343</v>
      </c>
      <c r="C20" s="63">
        <v>0.017278617710583248</v>
      </c>
    </row>
    <row r="21">
      <c r="A21" s="55">
        <v>20.0</v>
      </c>
      <c r="B21" s="63">
        <v>0.03363297110803386</v>
      </c>
      <c r="C21" s="63">
        <v>-0.057985757884028516</v>
      </c>
    </row>
    <row r="22">
      <c r="A22" s="55">
        <v>21.0</v>
      </c>
      <c r="B22" s="63">
        <v>0.07609738849320603</v>
      </c>
      <c r="C22" s="63">
        <v>-0.047480620155038816</v>
      </c>
    </row>
    <row r="23">
      <c r="A23" s="55">
        <v>22.0</v>
      </c>
      <c r="B23" s="63">
        <v>0.12854862615437243</v>
      </c>
      <c r="C23" s="63">
        <v>0.0177514792899408</v>
      </c>
    </row>
    <row r="24">
      <c r="A24" s="55">
        <v>23.0</v>
      </c>
      <c r="B24" s="63">
        <v>0.05082816665169069</v>
      </c>
      <c r="C24" s="63">
        <v>-0.00782778864970643</v>
      </c>
    </row>
    <row r="25">
      <c r="A25" s="55">
        <v>24.0</v>
      </c>
      <c r="B25" s="63">
        <v>-0.018058292403164575</v>
      </c>
      <c r="C25" s="63">
        <v>-0.02666666666666664</v>
      </c>
    </row>
    <row r="26">
      <c r="A26" s="55">
        <v>25.0</v>
      </c>
      <c r="B26" s="63">
        <v>0.028587850919651468</v>
      </c>
      <c r="C26" s="63">
        <v>0.029411764705882353</v>
      </c>
    </row>
    <row r="27">
      <c r="A27" s="55">
        <v>26.0</v>
      </c>
      <c r="B27" s="63">
        <v>0.0027605035643865467</v>
      </c>
      <c r="C27" s="63">
        <v>0.044012282497441116</v>
      </c>
    </row>
    <row r="28">
      <c r="A28" s="55">
        <v>27.0</v>
      </c>
      <c r="B28" s="63">
        <v>0.08928394409014302</v>
      </c>
      <c r="C28" s="63">
        <v>0.06951286261631098</v>
      </c>
    </row>
    <row r="29">
      <c r="A29" s="55">
        <v>28.0</v>
      </c>
      <c r="B29" s="63">
        <v>-0.04249193191166237</v>
      </c>
      <c r="C29" s="63">
        <v>-0.1087804878048781</v>
      </c>
    </row>
    <row r="30">
      <c r="A30" s="55">
        <v>29.0</v>
      </c>
      <c r="B30" s="63">
        <v>-0.0412255422417715</v>
      </c>
      <c r="C30" s="63">
        <v>0.11050920910075843</v>
      </c>
    </row>
    <row r="31">
      <c r="A31" s="55">
        <v>30.0</v>
      </c>
      <c r="B31" s="63">
        <v>0.05148161143185221</v>
      </c>
      <c r="C31" s="63">
        <v>-0.053333333333333365</v>
      </c>
    </row>
    <row r="32">
      <c r="A32" s="55">
        <v>31.0</v>
      </c>
      <c r="B32" s="63">
        <v>-0.0058347867448867346</v>
      </c>
      <c r="C32" s="63">
        <v>0.05519480519480513</v>
      </c>
    </row>
    <row r="33">
      <c r="A33" s="55">
        <v>32.0</v>
      </c>
      <c r="B33" s="63">
        <v>-0.025584772734295252</v>
      </c>
      <c r="C33" s="63">
        <v>-0.013347570742124932</v>
      </c>
    </row>
    <row r="34">
      <c r="A34" s="55">
        <v>33.0</v>
      </c>
      <c r="B34" s="63">
        <v>0.004562950086913243</v>
      </c>
      <c r="C34" s="63">
        <v>0.05461711711711721</v>
      </c>
    </row>
    <row r="35">
      <c r="A35" s="55">
        <v>34.0</v>
      </c>
      <c r="B35" s="63">
        <v>-0.009683071531769626</v>
      </c>
      <c r="C35" s="63">
        <v>-0.01769911504424788</v>
      </c>
    </row>
    <row r="36">
      <c r="A36" s="55">
        <v>35.0</v>
      </c>
      <c r="B36" s="63">
        <v>0.10222267398522741</v>
      </c>
      <c r="C36" s="63">
        <v>-0.03004291845493559</v>
      </c>
    </row>
    <row r="37">
      <c r="A37" s="55">
        <v>36.0</v>
      </c>
      <c r="B37" s="63">
        <v>-0.14812676788085202</v>
      </c>
      <c r="C37" s="63">
        <v>-0.039175257731958735</v>
      </c>
    </row>
    <row r="38">
      <c r="A38" s="55">
        <v>37.0</v>
      </c>
      <c r="B38" s="63">
        <v>0.020981906052926283</v>
      </c>
      <c r="C38" s="63">
        <v>0.07933681985089569</v>
      </c>
    </row>
    <row r="39">
      <c r="A39" s="55">
        <v>38.0</v>
      </c>
      <c r="B39" s="63">
        <v>-0.030401737242128243</v>
      </c>
      <c r="C39" s="63">
        <v>-0.07445932028836241</v>
      </c>
    </row>
    <row r="40">
      <c r="A40" s="55">
        <v>39.0</v>
      </c>
      <c r="B40" s="63">
        <v>0.17340575336954345</v>
      </c>
      <c r="C40" s="63">
        <v>0.01367574903434584</v>
      </c>
    </row>
    <row r="41">
      <c r="A41" s="55">
        <v>40.0</v>
      </c>
      <c r="B41" s="63">
        <v>0.03847359075241117</v>
      </c>
      <c r="C41" s="63">
        <v>0.03400259067357519</v>
      </c>
    </row>
    <row r="42">
      <c r="A42" s="55">
        <v>41.0</v>
      </c>
      <c r="B42" s="63">
        <v>0.007931216002807478</v>
      </c>
      <c r="C42" s="63">
        <v>-0.01645609937360651</v>
      </c>
    </row>
    <row r="43">
      <c r="A43" s="55">
        <v>42.0</v>
      </c>
      <c r="B43" s="63">
        <v>0.18055267846045484</v>
      </c>
      <c r="C43" s="63">
        <v>0.09740184084818827</v>
      </c>
    </row>
    <row r="44">
      <c r="A44" s="55">
        <v>43.0</v>
      </c>
      <c r="B44" s="63">
        <v>-0.04335935951805318</v>
      </c>
      <c r="C44" s="63">
        <v>0.04276515611711816</v>
      </c>
    </row>
    <row r="45">
      <c r="A45" s="55">
        <v>44.0</v>
      </c>
      <c r="B45" s="63">
        <v>0.05379442843419786</v>
      </c>
      <c r="C45" s="63">
        <v>-0.027183548043966402</v>
      </c>
    </row>
    <row r="46">
      <c r="A46" s="55">
        <v>45.0</v>
      </c>
      <c r="B46" s="63">
        <v>-0.09151963574274333</v>
      </c>
      <c r="C46" s="63">
        <v>-0.09216738197424897</v>
      </c>
    </row>
    <row r="47">
      <c r="A47" s="55">
        <v>46.0</v>
      </c>
      <c r="B47" s="63">
        <v>0.059667886293273305</v>
      </c>
      <c r="C47" s="63">
        <v>-0.042924625179708284</v>
      </c>
    </row>
    <row r="48">
      <c r="A48" s="55">
        <v>47.0</v>
      </c>
      <c r="B48" s="63">
        <v>-0.0050804064325145285</v>
      </c>
      <c r="C48" s="63">
        <v>-0.05474665113570181</v>
      </c>
    </row>
    <row r="49">
      <c r="A49" s="55">
        <v>48.0</v>
      </c>
      <c r="B49" s="63">
        <v>-0.04831156965013144</v>
      </c>
      <c r="C49" s="63">
        <v>-0.011703760552570979</v>
      </c>
    </row>
    <row r="50">
      <c r="A50" s="55">
        <v>49.0</v>
      </c>
      <c r="B50" s="63">
        <v>-0.1034541606935627</v>
      </c>
      <c r="C50" s="63">
        <v>0.03649199562493787</v>
      </c>
    </row>
    <row r="51">
      <c r="A51" s="55">
        <v>50.0</v>
      </c>
      <c r="B51" s="63">
        <v>-0.13268206039076375</v>
      </c>
      <c r="C51" s="63">
        <v>0.04586106489184689</v>
      </c>
    </row>
    <row r="52">
      <c r="A52" s="55">
        <v>51.0</v>
      </c>
      <c r="B52" s="63">
        <v>-0.050696942446043065</v>
      </c>
      <c r="C52" s="63">
        <v>-0.01161475999588868</v>
      </c>
    </row>
    <row r="53">
      <c r="A53" s="55">
        <v>52.0</v>
      </c>
      <c r="B53" s="63">
        <v>-0.015983629224047426</v>
      </c>
      <c r="C53" s="63">
        <v>0.07419675389201738</v>
      </c>
    </row>
  </sheetData>
  <hyperlinks>
    <hyperlink r:id="rId1" ref="C1"/>
    <hyperlink r:id="rId2" ref="G1"/>
    <hyperlink r:id="rId3" ref="E9"/>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14.75"/>
    <col customWidth="1" min="4" max="4" width="20.25"/>
  </cols>
  <sheetData>
    <row r="1" ht="75.0" customHeight="1">
      <c r="A1" s="97">
        <f>sum(A3:A13)</f>
        <v>6</v>
      </c>
      <c r="B1" s="98" t="s">
        <v>0</v>
      </c>
      <c r="C1" s="99" t="s">
        <v>15</v>
      </c>
      <c r="D1" s="100" t="s">
        <v>60</v>
      </c>
      <c r="N1" s="101"/>
      <c r="O1" s="18"/>
      <c r="P1" s="18"/>
      <c r="Q1" s="18"/>
      <c r="R1" s="18"/>
      <c r="S1" s="18"/>
      <c r="T1" s="18"/>
    </row>
    <row r="2" ht="44.25" customHeight="1">
      <c r="A2" s="102" t="s">
        <v>61</v>
      </c>
      <c r="B2" s="103">
        <v>46059.0</v>
      </c>
      <c r="C2" s="89"/>
      <c r="D2" s="104"/>
      <c r="G2" s="105"/>
      <c r="N2" s="7"/>
      <c r="O2" s="106"/>
      <c r="P2" s="106"/>
      <c r="Q2" s="106"/>
      <c r="R2" s="106"/>
      <c r="S2" s="106"/>
      <c r="T2" s="9"/>
    </row>
    <row r="3" ht="42.0" customHeight="1">
      <c r="A3" s="107"/>
      <c r="B3" s="14">
        <v>46055.0</v>
      </c>
      <c r="C3" s="89">
        <v>-0.0199809483980391</v>
      </c>
      <c r="D3" s="104"/>
      <c r="F3" s="108"/>
      <c r="G3" s="108"/>
      <c r="H3" s="109"/>
      <c r="I3" s="109"/>
      <c r="J3" s="109"/>
      <c r="K3" s="109"/>
      <c r="L3" s="109"/>
      <c r="M3" s="109"/>
      <c r="N3" s="7"/>
      <c r="O3" s="106"/>
      <c r="P3" s="106"/>
      <c r="Q3" s="106"/>
      <c r="R3" s="106"/>
      <c r="S3" s="106"/>
      <c r="T3" s="9"/>
    </row>
    <row r="4" ht="42.75" customHeight="1">
      <c r="A4" s="110">
        <v>1.0</v>
      </c>
      <c r="B4" s="19">
        <f t="shared" ref="B4:B53" si="1">B3-7</f>
        <v>46048</v>
      </c>
      <c r="C4" s="89">
        <v>-0.0415311985035407</v>
      </c>
      <c r="D4" s="6">
        <v>6939.03</v>
      </c>
      <c r="F4" s="7"/>
      <c r="G4" s="106"/>
      <c r="H4" s="106"/>
      <c r="I4" s="106"/>
      <c r="J4" s="106"/>
      <c r="K4" s="106"/>
      <c r="L4" s="9"/>
      <c r="M4" s="109"/>
      <c r="N4" s="7"/>
      <c r="O4" s="106"/>
      <c r="P4" s="106"/>
      <c r="Q4" s="106"/>
      <c r="R4" s="106"/>
      <c r="S4" s="106"/>
      <c r="T4" s="9"/>
    </row>
    <row r="5" ht="36.0" customHeight="1">
      <c r="A5" s="110">
        <v>1.0</v>
      </c>
      <c r="B5" s="19">
        <f t="shared" si="1"/>
        <v>46041</v>
      </c>
      <c r="C5" s="89">
        <v>0.02642285714285708</v>
      </c>
      <c r="D5" s="9">
        <v>6915.61</v>
      </c>
      <c r="F5" s="7"/>
      <c r="G5" s="106"/>
      <c r="H5" s="106"/>
      <c r="I5" s="106"/>
      <c r="J5" s="106"/>
      <c r="K5" s="106"/>
      <c r="L5" s="9"/>
      <c r="M5" s="109"/>
      <c r="N5" s="7"/>
      <c r="O5" s="106"/>
      <c r="P5" s="106"/>
      <c r="Q5" s="106"/>
      <c r="R5" s="106"/>
      <c r="S5" s="106"/>
      <c r="T5" s="9"/>
    </row>
    <row r="6" ht="48.0" customHeight="1">
      <c r="A6" s="110">
        <v>1.0</v>
      </c>
      <c r="B6" s="19">
        <f t="shared" si="1"/>
        <v>46034</v>
      </c>
      <c r="C6" s="89">
        <v>-0.01687602525785936</v>
      </c>
      <c r="D6" s="6">
        <v>6940.01</v>
      </c>
      <c r="F6" s="7"/>
      <c r="G6" s="106"/>
      <c r="H6" s="106"/>
      <c r="I6" s="106"/>
      <c r="J6" s="106"/>
      <c r="K6" s="106"/>
      <c r="L6" s="9"/>
      <c r="M6" s="109"/>
      <c r="N6" s="7"/>
      <c r="O6" s="106"/>
      <c r="P6" s="106"/>
      <c r="Q6" s="106"/>
      <c r="R6" s="106"/>
      <c r="S6" s="106"/>
      <c r="T6" s="9"/>
    </row>
    <row r="7" ht="45.0" customHeight="1">
      <c r="A7" s="110">
        <v>1.0</v>
      </c>
      <c r="B7" s="19">
        <f t="shared" si="1"/>
        <v>46027</v>
      </c>
      <c r="C7" s="89">
        <v>0.01584221699728361</v>
      </c>
      <c r="D7" s="9">
        <v>6966.28</v>
      </c>
      <c r="F7" s="7"/>
      <c r="G7" s="106"/>
      <c r="H7" s="106"/>
      <c r="I7" s="106"/>
      <c r="J7" s="106"/>
      <c r="K7" s="106"/>
      <c r="L7" s="9"/>
      <c r="M7" s="111"/>
      <c r="N7" s="7"/>
      <c r="O7" s="106"/>
      <c r="P7" s="106"/>
      <c r="Q7" s="106"/>
      <c r="R7" s="106"/>
      <c r="S7" s="106"/>
      <c r="T7" s="9"/>
    </row>
    <row r="8" ht="45.0" customHeight="1">
      <c r="A8" s="110">
        <v>1.0</v>
      </c>
      <c r="B8" s="19">
        <f t="shared" si="1"/>
        <v>46020</v>
      </c>
      <c r="C8" s="89">
        <v>-0.0781161219722637</v>
      </c>
      <c r="D8" s="6">
        <v>6858.47</v>
      </c>
      <c r="F8" s="7"/>
      <c r="G8" s="106"/>
      <c r="H8" s="106"/>
      <c r="I8" s="106"/>
      <c r="J8" s="106"/>
      <c r="K8" s="106"/>
      <c r="L8" s="9"/>
      <c r="M8" s="111"/>
      <c r="N8" s="7"/>
      <c r="O8" s="106"/>
      <c r="P8" s="106"/>
      <c r="Q8" s="106"/>
      <c r="R8" s="106"/>
      <c r="S8" s="106"/>
      <c r="T8" s="9"/>
    </row>
    <row r="9" ht="49.5" customHeight="1">
      <c r="A9" s="110">
        <v>1.0</v>
      </c>
      <c r="B9" s="19">
        <f t="shared" si="1"/>
        <v>46013</v>
      </c>
      <c r="C9" s="89">
        <v>-0.012489609310058158</v>
      </c>
      <c r="D9" s="9">
        <v>6929.94</v>
      </c>
      <c r="F9" s="7"/>
      <c r="G9" s="106"/>
      <c r="H9" s="106"/>
      <c r="I9" s="106"/>
      <c r="J9" s="106"/>
      <c r="K9" s="106"/>
      <c r="L9" s="9"/>
      <c r="M9" s="111"/>
      <c r="N9" s="7"/>
      <c r="O9" s="106"/>
      <c r="P9" s="106"/>
      <c r="Q9" s="106"/>
      <c r="R9" s="106"/>
      <c r="S9" s="106"/>
      <c r="T9" s="9"/>
    </row>
    <row r="10">
      <c r="B10" s="19">
        <f t="shared" si="1"/>
        <v>46006</v>
      </c>
      <c r="C10" s="89">
        <v>0.04845738190692006</v>
      </c>
      <c r="D10" s="6">
        <v>6834.5</v>
      </c>
      <c r="F10" s="7"/>
      <c r="G10" s="106"/>
      <c r="H10" s="106"/>
      <c r="I10" s="106"/>
      <c r="J10" s="106"/>
      <c r="K10" s="106"/>
      <c r="L10" s="9"/>
      <c r="M10" s="111"/>
      <c r="N10" s="7"/>
      <c r="O10" s="106"/>
      <c r="P10" s="106"/>
      <c r="Q10" s="106"/>
      <c r="R10" s="106"/>
      <c r="S10" s="106"/>
      <c r="T10" s="9"/>
    </row>
    <row r="11">
      <c r="B11" s="19">
        <f t="shared" si="1"/>
        <v>45999</v>
      </c>
      <c r="C11" s="89">
        <v>0.008703296703296726</v>
      </c>
      <c r="D11" s="9">
        <v>6827.41</v>
      </c>
      <c r="F11" s="7"/>
      <c r="G11" s="106"/>
      <c r="H11" s="106"/>
      <c r="I11" s="106"/>
      <c r="J11" s="106"/>
      <c r="K11" s="106"/>
      <c r="L11" s="9"/>
      <c r="M11" s="111"/>
      <c r="N11" s="7"/>
      <c r="O11" s="106"/>
      <c r="P11" s="106"/>
      <c r="Q11" s="106"/>
      <c r="R11" s="106"/>
      <c r="S11" s="106"/>
      <c r="T11" s="9"/>
    </row>
    <row r="12">
      <c r="B12" s="19">
        <f t="shared" si="1"/>
        <v>45992</v>
      </c>
      <c r="C12" s="89">
        <v>0.0577213659715925</v>
      </c>
      <c r="D12" s="6">
        <v>6870.4</v>
      </c>
      <c r="F12" s="7"/>
      <c r="G12" s="106"/>
      <c r="H12" s="106"/>
      <c r="I12" s="106"/>
      <c r="J12" s="106"/>
      <c r="K12" s="106"/>
      <c r="L12" s="9"/>
      <c r="M12" s="111"/>
      <c r="N12" s="7"/>
      <c r="O12" s="106"/>
      <c r="P12" s="106"/>
      <c r="Q12" s="106"/>
      <c r="R12" s="106"/>
      <c r="S12" s="106"/>
      <c r="T12" s="9"/>
    </row>
    <row r="13">
      <c r="B13" s="19">
        <f t="shared" si="1"/>
        <v>45985</v>
      </c>
      <c r="C13" s="89">
        <v>0.09992584827021922</v>
      </c>
      <c r="D13" s="9">
        <v>6849.09</v>
      </c>
      <c r="F13" s="7"/>
      <c r="G13" s="106"/>
      <c r="H13" s="106"/>
      <c r="I13" s="106"/>
      <c r="J13" s="106"/>
      <c r="K13" s="106"/>
      <c r="L13" s="9"/>
      <c r="M13" s="111"/>
      <c r="N13" s="7"/>
      <c r="O13" s="106"/>
      <c r="P13" s="106"/>
      <c r="Q13" s="106"/>
      <c r="R13" s="106"/>
      <c r="S13" s="106"/>
      <c r="T13" s="9"/>
    </row>
    <row r="14">
      <c r="B14" s="19">
        <f t="shared" si="1"/>
        <v>45978</v>
      </c>
      <c r="C14" s="89">
        <v>-0.032793372078644856</v>
      </c>
      <c r="D14" s="6">
        <v>6602.99</v>
      </c>
      <c r="F14" s="7"/>
      <c r="G14" s="106"/>
      <c r="H14" s="106"/>
      <c r="I14" s="106"/>
      <c r="J14" s="106"/>
      <c r="K14" s="106"/>
      <c r="L14" s="9"/>
      <c r="M14" s="111"/>
      <c r="N14" s="7"/>
      <c r="O14" s="106"/>
      <c r="P14" s="106"/>
      <c r="Q14" s="106"/>
      <c r="R14" s="106"/>
      <c r="S14" s="106"/>
      <c r="T14" s="9"/>
    </row>
    <row r="15">
      <c r="B15" s="19">
        <f t="shared" si="1"/>
        <v>45971</v>
      </c>
      <c r="C15" s="89">
        <v>-0.058600298007077556</v>
      </c>
      <c r="D15" s="9">
        <v>6734.11</v>
      </c>
      <c r="F15" s="7"/>
      <c r="G15" s="106"/>
      <c r="H15" s="106"/>
      <c r="I15" s="106"/>
      <c r="J15" s="106"/>
      <c r="K15" s="106"/>
      <c r="L15" s="9"/>
      <c r="M15" s="111"/>
      <c r="N15" s="7"/>
      <c r="O15" s="106"/>
      <c r="P15" s="106"/>
      <c r="Q15" s="106"/>
      <c r="R15" s="106"/>
      <c r="S15" s="106"/>
      <c r="T15" s="9"/>
    </row>
    <row r="16">
      <c r="B16" s="19">
        <f t="shared" si="1"/>
        <v>45964</v>
      </c>
      <c r="C16" s="89">
        <v>-0.059225512528473856</v>
      </c>
      <c r="D16" s="6">
        <v>6728.8</v>
      </c>
      <c r="F16" s="7"/>
      <c r="G16" s="106"/>
      <c r="H16" s="106"/>
      <c r="I16" s="106"/>
      <c r="J16" s="106"/>
      <c r="K16" s="106"/>
      <c r="L16" s="9"/>
      <c r="M16" s="111"/>
      <c r="N16" s="7"/>
      <c r="O16" s="106"/>
      <c r="P16" s="106"/>
      <c r="Q16" s="106"/>
      <c r="R16" s="106"/>
      <c r="S16" s="106"/>
      <c r="T16" s="9"/>
    </row>
    <row r="17">
      <c r="B17" s="19">
        <f t="shared" si="1"/>
        <v>45957</v>
      </c>
      <c r="C17" s="89">
        <v>0.052660702757539424</v>
      </c>
      <c r="D17" s="9">
        <v>6840.2</v>
      </c>
      <c r="F17" s="7"/>
      <c r="G17" s="106"/>
      <c r="H17" s="106"/>
      <c r="I17" s="106"/>
      <c r="J17" s="106"/>
      <c r="K17" s="106"/>
      <c r="L17" s="9"/>
      <c r="M17" s="111"/>
      <c r="N17" s="7"/>
      <c r="O17" s="106"/>
      <c r="P17" s="106"/>
      <c r="Q17" s="106"/>
      <c r="R17" s="106"/>
      <c r="S17" s="106"/>
      <c r="T17" s="9"/>
    </row>
    <row r="18">
      <c r="B18" s="19">
        <f t="shared" si="1"/>
        <v>45950</v>
      </c>
      <c r="C18" s="89">
        <v>-0.012724499783751786</v>
      </c>
      <c r="D18" s="6">
        <v>6791.69</v>
      </c>
      <c r="F18" s="7"/>
      <c r="G18" s="106"/>
      <c r="H18" s="106"/>
      <c r="I18" s="106"/>
      <c r="J18" s="106"/>
      <c r="K18" s="106"/>
      <c r="L18" s="9"/>
      <c r="M18" s="111"/>
      <c r="N18" s="7"/>
      <c r="O18" s="106"/>
      <c r="P18" s="106"/>
      <c r="Q18" s="106"/>
      <c r="R18" s="106"/>
      <c r="S18" s="106"/>
      <c r="T18" s="9"/>
    </row>
    <row r="19">
      <c r="B19" s="19">
        <f t="shared" si="1"/>
        <v>45943</v>
      </c>
      <c r="C19" s="89">
        <v>0.06244407361725801</v>
      </c>
      <c r="D19" s="9">
        <v>6664.01</v>
      </c>
      <c r="F19" s="7"/>
      <c r="G19" s="106"/>
      <c r="H19" s="106"/>
      <c r="I19" s="106"/>
      <c r="J19" s="106"/>
      <c r="K19" s="106"/>
      <c r="L19" s="9"/>
      <c r="M19" s="112"/>
      <c r="N19" s="7"/>
      <c r="O19" s="106"/>
      <c r="P19" s="106"/>
      <c r="Q19" s="106"/>
      <c r="R19" s="106"/>
      <c r="S19" s="106"/>
      <c r="T19" s="9"/>
    </row>
    <row r="20">
      <c r="B20" s="19">
        <f t="shared" si="1"/>
        <v>45936</v>
      </c>
      <c r="C20" s="89">
        <v>-0.0380150291975897</v>
      </c>
      <c r="D20" s="6">
        <v>6552.51</v>
      </c>
      <c r="F20" s="7"/>
      <c r="G20" s="106"/>
      <c r="H20" s="106"/>
      <c r="I20" s="106"/>
      <c r="J20" s="106"/>
      <c r="K20" s="106"/>
      <c r="L20" s="9"/>
      <c r="M20" s="113"/>
      <c r="N20" s="7"/>
      <c r="O20" s="106"/>
      <c r="P20" s="106"/>
      <c r="Q20" s="106"/>
      <c r="R20" s="106"/>
      <c r="S20" s="106"/>
      <c r="T20" s="9"/>
    </row>
    <row r="21">
      <c r="B21" s="19">
        <f t="shared" si="1"/>
        <v>45929</v>
      </c>
      <c r="C21" s="89">
        <v>-0.024000908265213394</v>
      </c>
      <c r="D21" s="9">
        <v>6715.79</v>
      </c>
      <c r="F21" s="7"/>
      <c r="G21" s="106"/>
      <c r="H21" s="106"/>
      <c r="I21" s="106"/>
      <c r="J21" s="106"/>
      <c r="K21" s="106"/>
      <c r="L21" s="9"/>
      <c r="M21" s="113"/>
      <c r="N21" s="7"/>
      <c r="O21" s="106"/>
      <c r="P21" s="106"/>
      <c r="Q21" s="106"/>
      <c r="R21" s="106"/>
      <c r="S21" s="106"/>
      <c r="T21" s="9"/>
    </row>
    <row r="22">
      <c r="B22" s="19">
        <f t="shared" si="1"/>
        <v>45922</v>
      </c>
      <c r="C22" s="89">
        <v>0.03363297110803387</v>
      </c>
      <c r="D22" s="6">
        <v>6643.7</v>
      </c>
      <c r="F22" s="7"/>
      <c r="G22" s="106"/>
      <c r="H22" s="106"/>
      <c r="I22" s="106"/>
      <c r="J22" s="106"/>
      <c r="K22" s="106"/>
      <c r="L22" s="9"/>
      <c r="M22" s="109"/>
      <c r="N22" s="7"/>
      <c r="O22" s="106"/>
      <c r="P22" s="106"/>
      <c r="Q22" s="106"/>
      <c r="R22" s="106"/>
      <c r="S22" s="106"/>
      <c r="T22" s="9"/>
    </row>
    <row r="23">
      <c r="B23" s="19">
        <f t="shared" si="1"/>
        <v>45915</v>
      </c>
      <c r="C23" s="89">
        <v>0.07609738849320613</v>
      </c>
      <c r="D23" s="9">
        <v>6664.36</v>
      </c>
      <c r="F23" s="7"/>
      <c r="G23" s="106"/>
      <c r="H23" s="106"/>
      <c r="I23" s="106"/>
      <c r="J23" s="106"/>
      <c r="K23" s="106"/>
      <c r="L23" s="9"/>
      <c r="N23" s="7"/>
      <c r="O23" s="106"/>
      <c r="P23" s="106"/>
      <c r="Q23" s="106"/>
      <c r="R23" s="106"/>
      <c r="S23" s="106"/>
      <c r="T23" s="9"/>
    </row>
    <row r="24">
      <c r="B24" s="19">
        <f t="shared" si="1"/>
        <v>45908</v>
      </c>
      <c r="C24" s="89">
        <v>0.12854862615437246</v>
      </c>
      <c r="D24" s="6">
        <v>6584.29</v>
      </c>
      <c r="F24" s="7"/>
      <c r="G24" s="106"/>
      <c r="H24" s="106"/>
      <c r="I24" s="106"/>
      <c r="J24" s="106"/>
      <c r="K24" s="106"/>
      <c r="L24" s="9"/>
      <c r="N24" s="7"/>
      <c r="O24" s="106"/>
      <c r="P24" s="106"/>
      <c r="Q24" s="106"/>
      <c r="R24" s="106"/>
      <c r="S24" s="106"/>
      <c r="T24" s="9"/>
    </row>
    <row r="25">
      <c r="B25" s="19">
        <f t="shared" si="1"/>
        <v>45901</v>
      </c>
      <c r="C25" s="89">
        <v>0.050828166651690765</v>
      </c>
      <c r="D25" s="9">
        <v>6481.5</v>
      </c>
      <c r="F25" s="7"/>
      <c r="G25" s="106"/>
      <c r="H25" s="106"/>
      <c r="I25" s="106"/>
      <c r="J25" s="106"/>
      <c r="K25" s="106"/>
      <c r="L25" s="9"/>
      <c r="N25" s="7"/>
      <c r="O25" s="106"/>
      <c r="P25" s="106"/>
      <c r="Q25" s="106"/>
      <c r="R25" s="106"/>
      <c r="S25" s="106"/>
      <c r="T25" s="9"/>
    </row>
    <row r="26">
      <c r="B26" s="19">
        <f t="shared" si="1"/>
        <v>45894</v>
      </c>
      <c r="C26" s="89">
        <v>-0.01805829240316459</v>
      </c>
      <c r="D26" s="6">
        <v>6460.26</v>
      </c>
      <c r="F26" s="7"/>
      <c r="G26" s="106"/>
      <c r="H26" s="106"/>
      <c r="I26" s="106"/>
      <c r="J26" s="106"/>
      <c r="K26" s="106"/>
      <c r="L26" s="9"/>
      <c r="N26" s="7"/>
      <c r="O26" s="106"/>
      <c r="P26" s="106"/>
      <c r="Q26" s="106"/>
      <c r="R26" s="106"/>
      <c r="S26" s="106"/>
      <c r="T26" s="9"/>
    </row>
    <row r="27">
      <c r="B27" s="19">
        <f t="shared" si="1"/>
        <v>45887</v>
      </c>
      <c r="C27" s="89">
        <v>0.028587850919651547</v>
      </c>
      <c r="D27" s="9">
        <v>6466.91</v>
      </c>
      <c r="F27" s="7"/>
      <c r="G27" s="106"/>
      <c r="H27" s="106"/>
      <c r="I27" s="106"/>
      <c r="J27" s="106"/>
      <c r="K27" s="106"/>
      <c r="L27" s="9"/>
      <c r="N27" s="7"/>
      <c r="O27" s="106"/>
      <c r="P27" s="106"/>
      <c r="Q27" s="106"/>
      <c r="R27" s="106"/>
      <c r="S27" s="106"/>
      <c r="T27" s="9"/>
    </row>
    <row r="28">
      <c r="B28" s="19">
        <f t="shared" si="1"/>
        <v>45880</v>
      </c>
      <c r="C28" s="89">
        <v>0.0027605035643865072</v>
      </c>
      <c r="D28" s="6">
        <v>6449.8</v>
      </c>
      <c r="F28" s="7"/>
      <c r="G28" s="106"/>
      <c r="H28" s="106"/>
      <c r="I28" s="106"/>
      <c r="J28" s="106"/>
      <c r="K28" s="106"/>
      <c r="L28" s="9"/>
      <c r="N28" s="7"/>
      <c r="O28" s="106"/>
      <c r="P28" s="106"/>
      <c r="Q28" s="106"/>
      <c r="R28" s="106"/>
      <c r="S28" s="106"/>
      <c r="T28" s="9"/>
    </row>
    <row r="29">
      <c r="B29" s="19">
        <f t="shared" si="1"/>
        <v>45873</v>
      </c>
      <c r="C29" s="89">
        <v>0.08928394409014295</v>
      </c>
      <c r="D29" s="9">
        <v>6389.45</v>
      </c>
      <c r="F29" s="7"/>
      <c r="G29" s="106"/>
      <c r="H29" s="106"/>
      <c r="I29" s="106"/>
      <c r="J29" s="106"/>
      <c r="K29" s="106"/>
      <c r="L29" s="9"/>
      <c r="N29" s="7"/>
      <c r="O29" s="106"/>
      <c r="P29" s="106"/>
      <c r="Q29" s="106"/>
      <c r="R29" s="106"/>
      <c r="S29" s="106"/>
      <c r="T29" s="9"/>
    </row>
    <row r="30">
      <c r="B30" s="19">
        <f t="shared" si="1"/>
        <v>45866</v>
      </c>
      <c r="C30" s="89">
        <v>-0.04249193191166234</v>
      </c>
      <c r="D30" s="6">
        <v>6238.01</v>
      </c>
      <c r="F30" s="7"/>
      <c r="G30" s="106"/>
      <c r="H30" s="106"/>
      <c r="I30" s="106"/>
      <c r="J30" s="106"/>
      <c r="K30" s="106"/>
      <c r="L30" s="9"/>
      <c r="N30" s="7"/>
      <c r="O30" s="106"/>
      <c r="P30" s="106"/>
      <c r="Q30" s="106"/>
      <c r="R30" s="106"/>
      <c r="S30" s="106"/>
      <c r="T30" s="9"/>
    </row>
    <row r="31">
      <c r="B31" s="19">
        <f t="shared" si="1"/>
        <v>45859</v>
      </c>
      <c r="C31" s="89">
        <v>-0.04122554224177155</v>
      </c>
      <c r="D31" s="9">
        <v>6388.64</v>
      </c>
      <c r="F31" s="7"/>
      <c r="G31" s="106"/>
      <c r="H31" s="106"/>
      <c r="I31" s="106"/>
      <c r="J31" s="106"/>
      <c r="K31" s="106"/>
      <c r="L31" s="9"/>
      <c r="N31" s="7"/>
      <c r="O31" s="106"/>
      <c r="P31" s="106"/>
      <c r="Q31" s="106"/>
      <c r="R31" s="106"/>
      <c r="S31" s="106"/>
      <c r="T31" s="9"/>
    </row>
    <row r="32">
      <c r="B32" s="19">
        <f t="shared" si="1"/>
        <v>45852</v>
      </c>
      <c r="C32" s="89">
        <v>0.05148161143185215</v>
      </c>
      <c r="D32" s="6">
        <v>6296.79</v>
      </c>
      <c r="F32" s="7"/>
      <c r="G32" s="106"/>
      <c r="H32" s="106"/>
      <c r="I32" s="106"/>
      <c r="J32" s="106"/>
      <c r="K32" s="106"/>
      <c r="L32" s="9"/>
      <c r="N32" s="7"/>
      <c r="O32" s="106"/>
      <c r="P32" s="106"/>
      <c r="Q32" s="106"/>
      <c r="R32" s="106"/>
      <c r="S32" s="106"/>
      <c r="T32" s="9"/>
    </row>
    <row r="33">
      <c r="B33" s="19">
        <f t="shared" si="1"/>
        <v>45845</v>
      </c>
      <c r="C33" s="89">
        <v>-0.005834786744886689</v>
      </c>
      <c r="D33" s="9">
        <v>6259.75</v>
      </c>
      <c r="F33" s="7"/>
      <c r="G33" s="106"/>
      <c r="H33" s="106"/>
      <c r="I33" s="106"/>
      <c r="J33" s="106"/>
      <c r="K33" s="106"/>
      <c r="L33" s="9"/>
      <c r="N33" s="7"/>
      <c r="O33" s="106"/>
      <c r="P33" s="106"/>
      <c r="Q33" s="106"/>
      <c r="R33" s="106"/>
      <c r="S33" s="106"/>
      <c r="T33" s="9"/>
    </row>
    <row r="34">
      <c r="B34" s="19">
        <f t="shared" si="1"/>
        <v>45838</v>
      </c>
      <c r="C34" s="89">
        <v>-0.02558477273429527</v>
      </c>
      <c r="D34" s="6">
        <v>6279.35</v>
      </c>
      <c r="F34" s="7"/>
      <c r="G34" s="106"/>
      <c r="H34" s="106"/>
      <c r="I34" s="106"/>
      <c r="J34" s="106"/>
      <c r="K34" s="106"/>
      <c r="L34" s="9"/>
      <c r="N34" s="7"/>
      <c r="O34" s="106"/>
      <c r="P34" s="106"/>
      <c r="Q34" s="106"/>
      <c r="R34" s="106"/>
      <c r="S34" s="106"/>
      <c r="T34" s="9"/>
    </row>
    <row r="35">
      <c r="B35" s="19">
        <f t="shared" si="1"/>
        <v>45831</v>
      </c>
      <c r="C35" s="89">
        <v>0.00456295008691332</v>
      </c>
      <c r="D35" s="9">
        <v>6173.07</v>
      </c>
      <c r="F35" s="7"/>
      <c r="G35" s="106"/>
      <c r="H35" s="106"/>
      <c r="I35" s="106"/>
      <c r="J35" s="106"/>
      <c r="K35" s="106"/>
      <c r="L35" s="9"/>
      <c r="N35" s="7"/>
      <c r="O35" s="106"/>
      <c r="P35" s="106"/>
      <c r="Q35" s="106"/>
      <c r="R35" s="106"/>
      <c r="S35" s="106"/>
      <c r="T35" s="9"/>
    </row>
    <row r="36">
      <c r="B36" s="19">
        <f t="shared" si="1"/>
        <v>45824</v>
      </c>
      <c r="C36" s="89">
        <v>-0.009683071531769616</v>
      </c>
      <c r="D36" s="6">
        <v>5967.84</v>
      </c>
      <c r="F36" s="7"/>
      <c r="G36" s="106"/>
      <c r="H36" s="106"/>
      <c r="I36" s="106"/>
      <c r="J36" s="106"/>
      <c r="K36" s="106"/>
      <c r="L36" s="9"/>
      <c r="N36" s="7"/>
      <c r="O36" s="106"/>
      <c r="P36" s="106"/>
      <c r="Q36" s="106"/>
      <c r="R36" s="106"/>
      <c r="S36" s="106"/>
      <c r="T36" s="9"/>
    </row>
    <row r="37">
      <c r="B37" s="19">
        <f t="shared" si="1"/>
        <v>45817</v>
      </c>
      <c r="C37" s="89">
        <v>0.10222267398522744</v>
      </c>
      <c r="D37" s="9">
        <v>5976.97</v>
      </c>
      <c r="F37" s="7"/>
      <c r="G37" s="106"/>
      <c r="H37" s="106"/>
      <c r="I37" s="106"/>
      <c r="J37" s="106"/>
      <c r="K37" s="106"/>
      <c r="L37" s="9"/>
      <c r="N37" s="7"/>
      <c r="O37" s="106"/>
      <c r="P37" s="106"/>
      <c r="Q37" s="106"/>
      <c r="R37" s="106"/>
      <c r="S37" s="106"/>
      <c r="T37" s="9"/>
    </row>
    <row r="38">
      <c r="B38" s="19">
        <f t="shared" si="1"/>
        <v>45810</v>
      </c>
      <c r="C38" s="89">
        <v>-0.148126767880852</v>
      </c>
      <c r="D38" s="6">
        <v>6000.36</v>
      </c>
      <c r="F38" s="7"/>
      <c r="G38" s="106"/>
      <c r="H38" s="106"/>
      <c r="I38" s="106"/>
      <c r="J38" s="106"/>
      <c r="K38" s="106"/>
      <c r="L38" s="9"/>
      <c r="N38" s="7"/>
      <c r="O38" s="106"/>
      <c r="P38" s="106"/>
      <c r="Q38" s="106"/>
      <c r="R38" s="106"/>
      <c r="S38" s="106"/>
      <c r="T38" s="9"/>
    </row>
    <row r="39">
      <c r="B39" s="19">
        <f t="shared" si="1"/>
        <v>45803</v>
      </c>
      <c r="C39" s="89">
        <v>0.02098190605292638</v>
      </c>
      <c r="D39" s="9">
        <v>5911.69</v>
      </c>
      <c r="F39" s="7"/>
      <c r="G39" s="106"/>
      <c r="H39" s="106"/>
      <c r="I39" s="106"/>
      <c r="J39" s="106"/>
      <c r="K39" s="106"/>
      <c r="L39" s="9"/>
      <c r="N39" s="7"/>
      <c r="O39" s="106"/>
      <c r="P39" s="106"/>
      <c r="Q39" s="106"/>
      <c r="R39" s="106"/>
      <c r="S39" s="106"/>
      <c r="T39" s="9"/>
    </row>
    <row r="40">
      <c r="B40" s="19">
        <f t="shared" si="1"/>
        <v>45796</v>
      </c>
      <c r="C40" s="89">
        <v>-0.030401737242128246</v>
      </c>
      <c r="D40" s="6">
        <v>5802.82</v>
      </c>
      <c r="F40" s="7"/>
      <c r="G40" s="106"/>
      <c r="H40" s="106"/>
      <c r="I40" s="106"/>
      <c r="J40" s="106"/>
      <c r="K40" s="106"/>
      <c r="L40" s="9"/>
      <c r="N40" s="7"/>
      <c r="O40" s="106"/>
      <c r="P40" s="106"/>
      <c r="Q40" s="106"/>
      <c r="R40" s="106"/>
      <c r="S40" s="106"/>
      <c r="T40" s="9"/>
    </row>
    <row r="41">
      <c r="B41" s="19">
        <f t="shared" si="1"/>
        <v>45789</v>
      </c>
      <c r="C41" s="89">
        <v>0.17340575336954345</v>
      </c>
      <c r="D41" s="9">
        <v>5958.38</v>
      </c>
      <c r="F41" s="7"/>
      <c r="G41" s="106"/>
      <c r="H41" s="106"/>
      <c r="I41" s="106"/>
      <c r="J41" s="106"/>
      <c r="K41" s="106"/>
      <c r="L41" s="9"/>
      <c r="N41" s="7"/>
      <c r="O41" s="106"/>
      <c r="P41" s="106"/>
      <c r="Q41" s="106"/>
      <c r="R41" s="106"/>
      <c r="S41" s="106"/>
      <c r="T41" s="9"/>
    </row>
    <row r="42">
      <c r="B42" s="19">
        <f t="shared" si="1"/>
        <v>45782</v>
      </c>
      <c r="C42" s="89">
        <v>0.03847359075241119</v>
      </c>
      <c r="D42" s="6">
        <v>5659.91</v>
      </c>
      <c r="F42" s="7"/>
      <c r="G42" s="106"/>
      <c r="H42" s="106"/>
      <c r="I42" s="106"/>
      <c r="J42" s="106"/>
      <c r="K42" s="106"/>
      <c r="L42" s="9"/>
      <c r="N42" s="7"/>
      <c r="O42" s="106"/>
      <c r="P42" s="106"/>
      <c r="Q42" s="106"/>
      <c r="R42" s="106"/>
      <c r="S42" s="106"/>
      <c r="T42" s="9"/>
    </row>
    <row r="43">
      <c r="B43" s="19">
        <f t="shared" si="1"/>
        <v>45775</v>
      </c>
      <c r="C43" s="89">
        <v>0.00793121600280755</v>
      </c>
      <c r="D43" s="9">
        <v>5686.67</v>
      </c>
      <c r="F43" s="7"/>
      <c r="G43" s="106"/>
      <c r="H43" s="106"/>
      <c r="I43" s="106"/>
      <c r="J43" s="106"/>
      <c r="K43" s="106"/>
      <c r="L43" s="9"/>
      <c r="N43" s="7"/>
      <c r="O43" s="106"/>
      <c r="P43" s="106"/>
      <c r="Q43" s="106"/>
      <c r="R43" s="106"/>
      <c r="S43" s="106"/>
      <c r="T43" s="9"/>
    </row>
    <row r="44">
      <c r="B44" s="19">
        <f t="shared" si="1"/>
        <v>45768</v>
      </c>
      <c r="C44" s="89">
        <v>0.18055267846045475</v>
      </c>
      <c r="D44" s="6">
        <v>5525.21</v>
      </c>
      <c r="F44" s="7"/>
      <c r="G44" s="106"/>
      <c r="H44" s="106"/>
      <c r="I44" s="106"/>
      <c r="J44" s="106"/>
      <c r="K44" s="106"/>
      <c r="L44" s="9"/>
      <c r="N44" s="7"/>
      <c r="O44" s="106"/>
      <c r="P44" s="106"/>
      <c r="Q44" s="106"/>
      <c r="R44" s="106"/>
      <c r="S44" s="106"/>
      <c r="T44" s="9"/>
    </row>
    <row r="45">
      <c r="B45" s="19">
        <f t="shared" si="1"/>
        <v>45761</v>
      </c>
      <c r="C45" s="89">
        <v>-0.04335935951805314</v>
      </c>
      <c r="D45" s="9">
        <v>5282.7</v>
      </c>
      <c r="F45" s="7"/>
      <c r="G45" s="106"/>
      <c r="H45" s="106"/>
      <c r="I45" s="106"/>
      <c r="J45" s="106"/>
      <c r="K45" s="106"/>
      <c r="L45" s="9"/>
      <c r="N45" s="7"/>
      <c r="O45" s="106"/>
      <c r="P45" s="106"/>
      <c r="Q45" s="106"/>
      <c r="R45" s="106"/>
      <c r="S45" s="106"/>
      <c r="T45" s="9"/>
    </row>
    <row r="46">
      <c r="B46" s="19">
        <f t="shared" si="1"/>
        <v>45754</v>
      </c>
      <c r="C46" s="89">
        <v>0.053794428434197794</v>
      </c>
      <c r="D46" s="6">
        <v>5363.36</v>
      </c>
      <c r="F46" s="7"/>
      <c r="G46" s="106"/>
      <c r="H46" s="106"/>
      <c r="I46" s="106"/>
      <c r="J46" s="106"/>
      <c r="K46" s="106"/>
      <c r="L46" s="9"/>
      <c r="N46" s="7"/>
      <c r="O46" s="106"/>
      <c r="P46" s="106"/>
      <c r="Q46" s="106"/>
      <c r="R46" s="106"/>
      <c r="S46" s="106"/>
      <c r="T46" s="9"/>
    </row>
    <row r="47">
      <c r="B47" s="19">
        <f t="shared" si="1"/>
        <v>45747</v>
      </c>
      <c r="C47" s="89">
        <v>-0.09151963574274335</v>
      </c>
      <c r="D47" s="9">
        <v>5074.08</v>
      </c>
      <c r="F47" s="7"/>
      <c r="G47" s="106"/>
      <c r="H47" s="106"/>
      <c r="I47" s="106"/>
      <c r="J47" s="106"/>
      <c r="K47" s="106"/>
      <c r="L47" s="9"/>
      <c r="N47" s="7"/>
      <c r="O47" s="106"/>
      <c r="P47" s="106"/>
      <c r="Q47" s="106"/>
      <c r="R47" s="106"/>
      <c r="S47" s="106"/>
      <c r="T47" s="9"/>
    </row>
    <row r="48">
      <c r="B48" s="19">
        <f t="shared" si="1"/>
        <v>45740</v>
      </c>
      <c r="C48" s="89">
        <v>0.05966788629327335</v>
      </c>
      <c r="D48" s="6">
        <v>5580.94</v>
      </c>
      <c r="F48" s="7"/>
      <c r="G48" s="106"/>
      <c r="H48" s="106"/>
      <c r="I48" s="106"/>
      <c r="J48" s="106"/>
      <c r="K48" s="106"/>
      <c r="L48" s="9"/>
      <c r="N48" s="7"/>
      <c r="O48" s="106"/>
      <c r="P48" s="106"/>
      <c r="Q48" s="106"/>
      <c r="R48" s="106"/>
      <c r="S48" s="106"/>
      <c r="T48" s="9"/>
    </row>
    <row r="49">
      <c r="B49" s="19">
        <f t="shared" si="1"/>
        <v>45733</v>
      </c>
      <c r="C49" s="89">
        <v>-0.005080406432514506</v>
      </c>
      <c r="D49" s="9">
        <v>5667.56</v>
      </c>
      <c r="F49" s="7"/>
      <c r="G49" s="106"/>
      <c r="H49" s="106"/>
      <c r="I49" s="106"/>
      <c r="J49" s="106"/>
      <c r="K49" s="106"/>
      <c r="L49" s="9"/>
      <c r="N49" s="7"/>
      <c r="O49" s="106"/>
      <c r="P49" s="106"/>
      <c r="Q49" s="106"/>
      <c r="R49" s="106"/>
      <c r="S49" s="106"/>
      <c r="T49" s="9"/>
    </row>
    <row r="50">
      <c r="B50" s="19">
        <f t="shared" si="1"/>
        <v>45726</v>
      </c>
      <c r="C50" s="89">
        <v>-0.04831156965013139</v>
      </c>
      <c r="D50" s="6">
        <v>5638.94</v>
      </c>
      <c r="F50" s="7"/>
      <c r="G50" s="106"/>
      <c r="H50" s="106"/>
      <c r="I50" s="106"/>
      <c r="J50" s="106"/>
      <c r="K50" s="106"/>
      <c r="L50" s="9"/>
      <c r="N50" s="7"/>
      <c r="O50" s="106"/>
      <c r="P50" s="106"/>
      <c r="Q50" s="106"/>
      <c r="R50" s="106"/>
      <c r="S50" s="106"/>
      <c r="T50" s="9"/>
    </row>
    <row r="51">
      <c r="B51" s="19">
        <f t="shared" si="1"/>
        <v>45719</v>
      </c>
      <c r="C51" s="89">
        <v>-0.10345416069356272</v>
      </c>
      <c r="D51" s="9">
        <v>5770.2</v>
      </c>
      <c r="F51" s="7"/>
      <c r="G51" s="106"/>
      <c r="H51" s="106"/>
      <c r="I51" s="106"/>
      <c r="J51" s="106"/>
      <c r="K51" s="106"/>
      <c r="L51" s="9"/>
      <c r="N51" s="7"/>
      <c r="O51" s="106"/>
      <c r="P51" s="106"/>
      <c r="Q51" s="106"/>
      <c r="R51" s="106"/>
      <c r="S51" s="106"/>
      <c r="T51" s="9"/>
    </row>
    <row r="52">
      <c r="B52" s="19">
        <f t="shared" si="1"/>
        <v>45712</v>
      </c>
      <c r="C52" s="89">
        <v>-0.1326820603907637</v>
      </c>
      <c r="D52" s="6">
        <v>5954.5</v>
      </c>
      <c r="F52" s="7"/>
      <c r="G52" s="106"/>
      <c r="H52" s="106"/>
      <c r="I52" s="106"/>
      <c r="J52" s="106"/>
      <c r="K52" s="106"/>
      <c r="L52" s="9"/>
      <c r="N52" s="7"/>
      <c r="O52" s="106"/>
      <c r="P52" s="106"/>
      <c r="Q52" s="106"/>
      <c r="R52" s="106"/>
      <c r="S52" s="106"/>
      <c r="T52" s="9"/>
    </row>
    <row r="53">
      <c r="B53" s="19">
        <f t="shared" si="1"/>
        <v>45705</v>
      </c>
      <c r="C53" s="89">
        <v>-0.05069694244604306</v>
      </c>
      <c r="D53" s="9">
        <v>6013.13</v>
      </c>
      <c r="F53" s="7"/>
      <c r="G53" s="106"/>
      <c r="H53" s="106"/>
      <c r="I53" s="106"/>
      <c r="J53" s="106"/>
      <c r="K53" s="106"/>
      <c r="L53" s="9"/>
      <c r="N53" s="7"/>
      <c r="O53" s="106"/>
      <c r="P53" s="106"/>
      <c r="Q53" s="106"/>
      <c r="R53" s="106"/>
      <c r="S53" s="106"/>
      <c r="T53" s="9"/>
    </row>
    <row r="54">
      <c r="B54" s="26">
        <v>45698.0</v>
      </c>
      <c r="C54" s="89">
        <v>-0.01598362922404739</v>
      </c>
      <c r="D54" s="6">
        <v>6114.63</v>
      </c>
      <c r="F54" s="7"/>
      <c r="G54" s="106"/>
      <c r="H54" s="106"/>
      <c r="I54" s="106"/>
      <c r="J54" s="106"/>
      <c r="K54" s="106"/>
      <c r="L54" s="9"/>
      <c r="N54" s="114"/>
    </row>
    <row r="55">
      <c r="B55" s="10">
        <v>45691.0</v>
      </c>
      <c r="C55" s="89"/>
      <c r="D55" s="12">
        <v>6025.99</v>
      </c>
      <c r="F55" s="7"/>
      <c r="G55" s="106"/>
      <c r="H55" s="106"/>
      <c r="I55" s="106"/>
      <c r="J55" s="106"/>
      <c r="K55" s="106"/>
      <c r="L55" s="9"/>
      <c r="N55" s="114"/>
    </row>
    <row r="56">
      <c r="B56" s="114"/>
      <c r="C56" s="89"/>
      <c r="D56" s="104"/>
      <c r="N56" s="114"/>
    </row>
    <row r="57">
      <c r="B57" s="114"/>
      <c r="C57" s="89"/>
      <c r="D57" s="104"/>
      <c r="N57" s="114"/>
    </row>
    <row r="58">
      <c r="B58" s="114"/>
      <c r="C58" s="89"/>
      <c r="D58" s="104"/>
      <c r="N58" s="114"/>
    </row>
    <row r="59">
      <c r="B59" s="114"/>
      <c r="C59" s="89"/>
      <c r="D59" s="104"/>
      <c r="N59" s="114"/>
    </row>
    <row r="60">
      <c r="B60" s="114"/>
      <c r="C60" s="89"/>
      <c r="D60" s="104"/>
      <c r="N60" s="114"/>
    </row>
    <row r="61">
      <c r="B61" s="114"/>
      <c r="C61" s="89"/>
      <c r="D61" s="104"/>
      <c r="N61" s="114"/>
    </row>
    <row r="62">
      <c r="B62" s="114"/>
      <c r="C62" s="89"/>
      <c r="D62" s="104"/>
      <c r="N62" s="114"/>
    </row>
    <row r="63">
      <c r="B63" s="114"/>
      <c r="C63" s="89"/>
      <c r="D63" s="104"/>
      <c r="N63" s="114"/>
    </row>
    <row r="64">
      <c r="B64" s="114"/>
      <c r="C64" s="89"/>
      <c r="D64" s="104"/>
      <c r="N64" s="114"/>
    </row>
    <row r="65">
      <c r="B65" s="114"/>
      <c r="C65" s="89"/>
      <c r="D65" s="104"/>
      <c r="N65" s="114"/>
    </row>
    <row r="66">
      <c r="B66" s="114"/>
      <c r="C66" s="89"/>
      <c r="D66" s="104"/>
      <c r="N66" s="114"/>
    </row>
    <row r="67">
      <c r="B67" s="114"/>
      <c r="C67" s="89"/>
      <c r="D67" s="104"/>
      <c r="N67" s="114"/>
    </row>
    <row r="68">
      <c r="B68" s="114"/>
      <c r="C68" s="89"/>
      <c r="D68" s="104"/>
      <c r="N68" s="114"/>
    </row>
    <row r="69">
      <c r="B69" s="114"/>
      <c r="C69" s="89"/>
      <c r="D69" s="104"/>
      <c r="N69" s="114"/>
    </row>
    <row r="70">
      <c r="B70" s="114"/>
      <c r="C70" s="89"/>
      <c r="D70" s="104"/>
      <c r="N70" s="114"/>
    </row>
    <row r="71">
      <c r="B71" s="114"/>
      <c r="C71" s="89"/>
      <c r="D71" s="104"/>
      <c r="N71" s="114"/>
    </row>
    <row r="72">
      <c r="B72" s="114"/>
      <c r="C72" s="89"/>
      <c r="D72" s="104"/>
      <c r="N72" s="114"/>
    </row>
    <row r="73">
      <c r="B73" s="114"/>
      <c r="C73" s="89"/>
      <c r="D73" s="104"/>
      <c r="N73" s="114"/>
    </row>
    <row r="74">
      <c r="B74" s="114"/>
      <c r="C74" s="89"/>
      <c r="D74" s="104"/>
      <c r="N74" s="114"/>
    </row>
    <row r="75">
      <c r="B75" s="114"/>
      <c r="C75" s="89"/>
      <c r="D75" s="104"/>
      <c r="N75" s="114"/>
    </row>
    <row r="76">
      <c r="B76" s="114"/>
      <c r="C76" s="89"/>
      <c r="D76" s="104"/>
      <c r="N76" s="114"/>
    </row>
    <row r="77">
      <c r="B77" s="114"/>
      <c r="C77" s="89"/>
      <c r="D77" s="104"/>
      <c r="N77" s="114"/>
    </row>
    <row r="78">
      <c r="B78" s="114"/>
      <c r="C78" s="89"/>
      <c r="D78" s="104"/>
      <c r="N78" s="114"/>
    </row>
    <row r="79">
      <c r="B79" s="114"/>
      <c r="C79" s="89"/>
      <c r="D79" s="104"/>
      <c r="N79" s="114"/>
    </row>
    <row r="80">
      <c r="B80" s="114"/>
      <c r="C80" s="89"/>
      <c r="D80" s="104"/>
      <c r="N80" s="114"/>
    </row>
    <row r="81">
      <c r="B81" s="114"/>
      <c r="C81" s="89"/>
      <c r="D81" s="104"/>
      <c r="N81" s="114"/>
    </row>
    <row r="82">
      <c r="B82" s="114"/>
      <c r="C82" s="89"/>
      <c r="D82" s="104"/>
      <c r="N82" s="114"/>
    </row>
    <row r="83">
      <c r="B83" s="114"/>
      <c r="C83" s="89"/>
      <c r="D83" s="104"/>
      <c r="N83" s="114"/>
    </row>
    <row r="84">
      <c r="B84" s="114"/>
      <c r="C84" s="89"/>
      <c r="D84" s="104"/>
      <c r="N84" s="114"/>
    </row>
    <row r="85">
      <c r="B85" s="114"/>
      <c r="C85" s="89"/>
      <c r="D85" s="104"/>
      <c r="N85" s="114"/>
    </row>
    <row r="86">
      <c r="B86" s="114"/>
      <c r="C86" s="89"/>
      <c r="D86" s="104"/>
      <c r="N86" s="114"/>
    </row>
    <row r="87">
      <c r="B87" s="114"/>
      <c r="C87" s="89"/>
      <c r="D87" s="104"/>
      <c r="N87" s="114"/>
    </row>
    <row r="88">
      <c r="B88" s="114"/>
      <c r="C88" s="89"/>
      <c r="D88" s="104"/>
      <c r="N88" s="114"/>
    </row>
    <row r="89">
      <c r="B89" s="114"/>
      <c r="C89" s="89"/>
      <c r="D89" s="104"/>
      <c r="N89" s="114"/>
    </row>
    <row r="90">
      <c r="B90" s="114"/>
      <c r="C90" s="89"/>
      <c r="D90" s="104"/>
      <c r="N90" s="114"/>
    </row>
    <row r="91">
      <c r="B91" s="114"/>
      <c r="C91" s="89"/>
      <c r="D91" s="104"/>
      <c r="N91" s="114"/>
    </row>
    <row r="92">
      <c r="B92" s="114"/>
      <c r="C92" s="89"/>
      <c r="D92" s="104"/>
      <c r="N92" s="114"/>
    </row>
    <row r="93">
      <c r="B93" s="114"/>
      <c r="C93" s="89"/>
      <c r="D93" s="104"/>
      <c r="N93" s="114"/>
    </row>
    <row r="94">
      <c r="B94" s="114"/>
      <c r="C94" s="89"/>
      <c r="D94" s="104"/>
      <c r="N94" s="114"/>
    </row>
    <row r="95">
      <c r="B95" s="114"/>
      <c r="C95" s="89"/>
      <c r="D95" s="104"/>
      <c r="N95" s="114"/>
    </row>
    <row r="96">
      <c r="B96" s="114"/>
      <c r="C96" s="89"/>
      <c r="D96" s="104"/>
      <c r="N96" s="114"/>
    </row>
    <row r="97">
      <c r="B97" s="114"/>
      <c r="C97" s="89"/>
      <c r="D97" s="104"/>
      <c r="N97" s="114"/>
    </row>
    <row r="98">
      <c r="B98" s="114"/>
      <c r="C98" s="89"/>
      <c r="D98" s="104"/>
      <c r="N98" s="114"/>
    </row>
    <row r="99">
      <c r="B99" s="114"/>
      <c r="C99" s="89"/>
      <c r="D99" s="104"/>
      <c r="N99" s="114"/>
    </row>
    <row r="100">
      <c r="B100" s="114"/>
      <c r="C100" s="89"/>
      <c r="D100" s="104"/>
      <c r="N100" s="114"/>
    </row>
    <row r="101">
      <c r="B101" s="114"/>
      <c r="C101" s="89"/>
      <c r="D101" s="104"/>
      <c r="N101" s="114"/>
    </row>
    <row r="102">
      <c r="B102" s="114"/>
      <c r="C102" s="89"/>
      <c r="D102" s="104"/>
      <c r="N102" s="114"/>
    </row>
    <row r="103">
      <c r="B103" s="114"/>
      <c r="C103" s="89"/>
      <c r="D103" s="104"/>
      <c r="N103" s="114"/>
    </row>
    <row r="104">
      <c r="B104" s="114"/>
      <c r="C104" s="89"/>
      <c r="D104" s="104"/>
      <c r="N104" s="114"/>
    </row>
    <row r="105">
      <c r="B105" s="114"/>
      <c r="C105" s="89"/>
      <c r="D105" s="104"/>
      <c r="N105" s="114"/>
    </row>
    <row r="106">
      <c r="B106" s="114"/>
      <c r="C106" s="89"/>
      <c r="D106" s="104"/>
      <c r="N106" s="114"/>
    </row>
    <row r="107">
      <c r="B107" s="114"/>
      <c r="C107" s="89"/>
      <c r="D107" s="104"/>
      <c r="N107" s="114"/>
    </row>
    <row r="108">
      <c r="B108" s="114"/>
      <c r="C108" s="89"/>
      <c r="D108" s="104"/>
      <c r="N108" s="114"/>
    </row>
    <row r="109">
      <c r="B109" s="114"/>
      <c r="C109" s="89"/>
      <c r="D109" s="104"/>
      <c r="N109" s="114"/>
    </row>
    <row r="110">
      <c r="B110" s="114"/>
      <c r="C110" s="89"/>
      <c r="D110" s="104"/>
      <c r="N110" s="114"/>
    </row>
    <row r="111">
      <c r="B111" s="114"/>
      <c r="C111" s="89"/>
      <c r="D111" s="104"/>
      <c r="N111" s="114"/>
    </row>
    <row r="112">
      <c r="B112" s="114"/>
      <c r="C112" s="89"/>
      <c r="D112" s="104"/>
      <c r="N112" s="114"/>
    </row>
    <row r="113">
      <c r="B113" s="114"/>
      <c r="C113" s="89"/>
      <c r="D113" s="104"/>
      <c r="N113" s="114"/>
    </row>
    <row r="114">
      <c r="B114" s="114"/>
      <c r="C114" s="89"/>
      <c r="D114" s="104"/>
      <c r="N114" s="114"/>
    </row>
    <row r="115">
      <c r="B115" s="114"/>
      <c r="C115" s="89"/>
      <c r="D115" s="104"/>
      <c r="N115" s="114"/>
    </row>
    <row r="116">
      <c r="B116" s="114"/>
      <c r="C116" s="89"/>
      <c r="D116" s="104"/>
      <c r="N116" s="114"/>
    </row>
    <row r="117">
      <c r="B117" s="114"/>
      <c r="C117" s="89"/>
      <c r="D117" s="104"/>
      <c r="N117" s="114"/>
    </row>
    <row r="118">
      <c r="B118" s="114"/>
      <c r="C118" s="89"/>
      <c r="D118" s="104"/>
      <c r="N118" s="114"/>
    </row>
    <row r="119">
      <c r="B119" s="114"/>
      <c r="C119" s="89"/>
      <c r="D119" s="104"/>
      <c r="N119" s="114"/>
    </row>
    <row r="120">
      <c r="B120" s="114"/>
      <c r="C120" s="89"/>
      <c r="D120" s="104"/>
      <c r="N120" s="114"/>
    </row>
    <row r="121">
      <c r="B121" s="114"/>
      <c r="C121" s="89"/>
      <c r="D121" s="104"/>
      <c r="N121" s="114"/>
    </row>
    <row r="122">
      <c r="B122" s="114"/>
      <c r="C122" s="89"/>
      <c r="D122" s="104"/>
      <c r="N122" s="114"/>
    </row>
    <row r="123">
      <c r="B123" s="114"/>
      <c r="C123" s="89"/>
      <c r="D123" s="104"/>
      <c r="N123" s="114"/>
    </row>
    <row r="124">
      <c r="B124" s="114"/>
      <c r="C124" s="89"/>
      <c r="D124" s="104"/>
      <c r="N124" s="114"/>
    </row>
    <row r="125">
      <c r="B125" s="114"/>
      <c r="C125" s="89"/>
      <c r="D125" s="104"/>
      <c r="N125" s="114"/>
    </row>
    <row r="126">
      <c r="B126" s="114"/>
      <c r="C126" s="89"/>
      <c r="D126" s="104"/>
      <c r="N126" s="114"/>
    </row>
    <row r="127">
      <c r="B127" s="114"/>
      <c r="C127" s="89"/>
      <c r="D127" s="104"/>
      <c r="N127" s="114"/>
    </row>
    <row r="128">
      <c r="B128" s="114"/>
      <c r="C128" s="89"/>
      <c r="D128" s="104"/>
      <c r="N128" s="114"/>
    </row>
    <row r="129">
      <c r="B129" s="114"/>
      <c r="C129" s="89"/>
      <c r="D129" s="104"/>
      <c r="N129" s="114"/>
    </row>
    <row r="130">
      <c r="B130" s="114"/>
      <c r="C130" s="89"/>
      <c r="D130" s="104"/>
      <c r="N130" s="114"/>
    </row>
    <row r="131">
      <c r="B131" s="114"/>
      <c r="C131" s="89"/>
      <c r="D131" s="104"/>
      <c r="N131" s="114"/>
    </row>
    <row r="132">
      <c r="B132" s="114"/>
      <c r="C132" s="89"/>
      <c r="D132" s="104"/>
      <c r="N132" s="114"/>
    </row>
    <row r="133">
      <c r="B133" s="114"/>
      <c r="C133" s="89"/>
      <c r="D133" s="104"/>
      <c r="N133" s="114"/>
    </row>
    <row r="134">
      <c r="B134" s="114"/>
      <c r="C134" s="89"/>
      <c r="D134" s="104"/>
      <c r="N134" s="114"/>
    </row>
    <row r="135">
      <c r="B135" s="114"/>
      <c r="C135" s="89"/>
      <c r="D135" s="104"/>
      <c r="N135" s="114"/>
    </row>
    <row r="136">
      <c r="B136" s="114"/>
      <c r="C136" s="89"/>
      <c r="D136" s="104"/>
      <c r="N136" s="114"/>
    </row>
    <row r="137">
      <c r="B137" s="114"/>
      <c r="C137" s="89"/>
      <c r="D137" s="104"/>
      <c r="N137" s="114"/>
    </row>
    <row r="138">
      <c r="B138" s="114"/>
      <c r="C138" s="89"/>
      <c r="D138" s="104"/>
      <c r="N138" s="114"/>
    </row>
    <row r="139">
      <c r="B139" s="114"/>
      <c r="C139" s="89"/>
      <c r="D139" s="104"/>
      <c r="N139" s="114"/>
    </row>
    <row r="140">
      <c r="B140" s="114"/>
      <c r="C140" s="89"/>
      <c r="D140" s="104"/>
      <c r="N140" s="114"/>
    </row>
    <row r="141">
      <c r="B141" s="114"/>
      <c r="C141" s="89"/>
      <c r="D141" s="104"/>
      <c r="N141" s="114"/>
    </row>
    <row r="142">
      <c r="B142" s="114"/>
      <c r="C142" s="89"/>
      <c r="D142" s="104"/>
      <c r="N142" s="114"/>
    </row>
    <row r="143">
      <c r="B143" s="114"/>
      <c r="C143" s="89"/>
      <c r="D143" s="104"/>
      <c r="N143" s="114"/>
    </row>
    <row r="144">
      <c r="B144" s="114"/>
      <c r="C144" s="89"/>
      <c r="D144" s="104"/>
      <c r="N144" s="114"/>
    </row>
    <row r="145">
      <c r="B145" s="114"/>
      <c r="C145" s="89"/>
      <c r="D145" s="104"/>
      <c r="N145" s="114"/>
    </row>
    <row r="146">
      <c r="B146" s="114"/>
      <c r="C146" s="89"/>
      <c r="D146" s="104"/>
      <c r="N146" s="114"/>
    </row>
    <row r="147">
      <c r="B147" s="114"/>
      <c r="C147" s="89"/>
      <c r="D147" s="104"/>
      <c r="N147" s="114"/>
    </row>
    <row r="148">
      <c r="B148" s="114"/>
      <c r="C148" s="89"/>
      <c r="D148" s="104"/>
      <c r="N148" s="114"/>
    </row>
    <row r="149">
      <c r="B149" s="114"/>
      <c r="C149" s="89"/>
      <c r="D149" s="104"/>
      <c r="N149" s="114"/>
    </row>
    <row r="150">
      <c r="B150" s="114"/>
      <c r="C150" s="89"/>
      <c r="D150" s="104"/>
      <c r="N150" s="114"/>
    </row>
    <row r="151">
      <c r="B151" s="114"/>
      <c r="C151" s="89"/>
      <c r="D151" s="104"/>
      <c r="N151" s="114"/>
    </row>
    <row r="152">
      <c r="B152" s="114"/>
      <c r="C152" s="89"/>
      <c r="D152" s="104"/>
      <c r="N152" s="114"/>
    </row>
    <row r="153">
      <c r="B153" s="114"/>
      <c r="C153" s="89"/>
      <c r="D153" s="104"/>
      <c r="N153" s="114"/>
    </row>
    <row r="154">
      <c r="B154" s="114"/>
      <c r="C154" s="89"/>
      <c r="D154" s="104"/>
      <c r="N154" s="114"/>
    </row>
    <row r="155">
      <c r="B155" s="114"/>
      <c r="C155" s="89"/>
      <c r="D155" s="104"/>
      <c r="N155" s="114"/>
    </row>
    <row r="156">
      <c r="B156" s="114"/>
      <c r="C156" s="89"/>
      <c r="D156" s="104"/>
      <c r="N156" s="114"/>
    </row>
    <row r="157">
      <c r="B157" s="114"/>
      <c r="C157" s="89"/>
      <c r="D157" s="104"/>
      <c r="N157" s="114"/>
    </row>
    <row r="158">
      <c r="B158" s="114"/>
      <c r="C158" s="89"/>
      <c r="D158" s="104"/>
      <c r="N158" s="114"/>
    </row>
    <row r="159">
      <c r="B159" s="114"/>
      <c r="C159" s="89"/>
      <c r="D159" s="104"/>
      <c r="N159" s="114"/>
    </row>
    <row r="160">
      <c r="B160" s="114"/>
      <c r="C160" s="89"/>
      <c r="D160" s="104"/>
      <c r="N160" s="114"/>
    </row>
    <row r="161">
      <c r="B161" s="114"/>
      <c r="C161" s="89"/>
      <c r="D161" s="104"/>
      <c r="N161" s="114"/>
    </row>
    <row r="162">
      <c r="B162" s="114"/>
      <c r="C162" s="89"/>
      <c r="D162" s="104"/>
      <c r="N162" s="114"/>
    </row>
    <row r="163">
      <c r="B163" s="114"/>
      <c r="C163" s="89"/>
      <c r="D163" s="104"/>
      <c r="N163" s="114"/>
    </row>
    <row r="164">
      <c r="B164" s="114"/>
      <c r="C164" s="89"/>
      <c r="D164" s="104"/>
      <c r="N164" s="114"/>
    </row>
    <row r="165">
      <c r="B165" s="114"/>
      <c r="C165" s="89"/>
      <c r="D165" s="104"/>
      <c r="N165" s="114"/>
    </row>
    <row r="166">
      <c r="B166" s="114"/>
      <c r="C166" s="89"/>
      <c r="D166" s="104"/>
      <c r="N166" s="114"/>
    </row>
    <row r="167">
      <c r="B167" s="114"/>
      <c r="C167" s="89"/>
      <c r="D167" s="104"/>
      <c r="N167" s="114"/>
    </row>
    <row r="168">
      <c r="B168" s="114"/>
      <c r="C168" s="89"/>
      <c r="D168" s="104"/>
      <c r="N168" s="114"/>
    </row>
    <row r="169">
      <c r="B169" s="114"/>
      <c r="C169" s="89"/>
      <c r="D169" s="104"/>
      <c r="N169" s="114"/>
    </row>
    <row r="170">
      <c r="B170" s="114"/>
      <c r="C170" s="89"/>
      <c r="D170" s="104"/>
      <c r="N170" s="114"/>
    </row>
    <row r="171">
      <c r="B171" s="114"/>
      <c r="C171" s="89"/>
      <c r="D171" s="104"/>
      <c r="N171" s="114"/>
    </row>
    <row r="172">
      <c r="B172" s="114"/>
      <c r="C172" s="89"/>
      <c r="D172" s="104"/>
      <c r="N172" s="114"/>
    </row>
    <row r="173">
      <c r="B173" s="114"/>
      <c r="C173" s="89"/>
      <c r="D173" s="104"/>
      <c r="N173" s="114"/>
    </row>
    <row r="174">
      <c r="B174" s="114"/>
      <c r="C174" s="89"/>
      <c r="D174" s="104"/>
      <c r="N174" s="114"/>
    </row>
    <row r="175">
      <c r="B175" s="114"/>
      <c r="C175" s="89"/>
      <c r="D175" s="104"/>
      <c r="N175" s="114"/>
    </row>
    <row r="176">
      <c r="B176" s="114"/>
      <c r="C176" s="89"/>
      <c r="D176" s="104"/>
      <c r="N176" s="114"/>
    </row>
    <row r="177">
      <c r="B177" s="114"/>
      <c r="C177" s="89"/>
      <c r="D177" s="104"/>
      <c r="N177" s="114"/>
    </row>
    <row r="178">
      <c r="B178" s="114"/>
      <c r="C178" s="89"/>
      <c r="D178" s="104"/>
      <c r="N178" s="114"/>
    </row>
    <row r="179">
      <c r="B179" s="114"/>
      <c r="C179" s="89"/>
      <c r="D179" s="104"/>
      <c r="N179" s="114"/>
    </row>
    <row r="180">
      <c r="B180" s="114"/>
      <c r="C180" s="89"/>
      <c r="D180" s="104"/>
      <c r="N180" s="114"/>
    </row>
    <row r="181">
      <c r="B181" s="114"/>
      <c r="C181" s="89"/>
      <c r="D181" s="104"/>
      <c r="N181" s="114"/>
    </row>
    <row r="182">
      <c r="B182" s="114"/>
      <c r="C182" s="89"/>
      <c r="D182" s="104"/>
      <c r="N182" s="114"/>
    </row>
    <row r="183">
      <c r="B183" s="114"/>
      <c r="C183" s="89"/>
      <c r="D183" s="104"/>
      <c r="N183" s="114"/>
    </row>
    <row r="184">
      <c r="B184" s="114"/>
      <c r="C184" s="89"/>
      <c r="D184" s="104"/>
      <c r="N184" s="114"/>
    </row>
    <row r="185">
      <c r="B185" s="114"/>
      <c r="C185" s="89"/>
      <c r="D185" s="104"/>
      <c r="N185" s="114"/>
    </row>
    <row r="186">
      <c r="B186" s="114"/>
      <c r="C186" s="89"/>
      <c r="D186" s="104"/>
      <c r="N186" s="114"/>
    </row>
    <row r="187">
      <c r="B187" s="114"/>
      <c r="C187" s="89"/>
      <c r="D187" s="104"/>
      <c r="N187" s="114"/>
    </row>
    <row r="188">
      <c r="B188" s="114"/>
      <c r="C188" s="89"/>
      <c r="D188" s="104"/>
      <c r="N188" s="114"/>
    </row>
    <row r="189">
      <c r="B189" s="114"/>
      <c r="C189" s="89"/>
      <c r="D189" s="104"/>
      <c r="N189" s="114"/>
    </row>
    <row r="190">
      <c r="B190" s="114"/>
      <c r="C190" s="89"/>
      <c r="D190" s="104"/>
      <c r="N190" s="114"/>
    </row>
    <row r="191">
      <c r="B191" s="114"/>
      <c r="C191" s="89"/>
      <c r="D191" s="104"/>
      <c r="N191" s="114"/>
    </row>
    <row r="192">
      <c r="B192" s="114"/>
      <c r="C192" s="89"/>
      <c r="D192" s="104"/>
      <c r="N192" s="114"/>
    </row>
    <row r="193">
      <c r="B193" s="114"/>
      <c r="C193" s="89"/>
      <c r="D193" s="104"/>
      <c r="N193" s="114"/>
    </row>
    <row r="194">
      <c r="B194" s="114"/>
      <c r="C194" s="89"/>
      <c r="D194" s="104"/>
      <c r="N194" s="114"/>
    </row>
    <row r="195">
      <c r="B195" s="114"/>
      <c r="C195" s="89"/>
      <c r="D195" s="104"/>
      <c r="N195" s="114"/>
    </row>
    <row r="196">
      <c r="B196" s="114"/>
      <c r="C196" s="89"/>
      <c r="D196" s="104"/>
      <c r="N196" s="114"/>
    </row>
    <row r="197">
      <c r="B197" s="114"/>
      <c r="C197" s="89"/>
      <c r="D197" s="104"/>
      <c r="N197" s="114"/>
    </row>
    <row r="198">
      <c r="B198" s="114"/>
      <c r="C198" s="89"/>
      <c r="D198" s="104"/>
      <c r="N198" s="114"/>
    </row>
    <row r="199">
      <c r="B199" s="114"/>
      <c r="C199" s="89"/>
      <c r="D199" s="104"/>
      <c r="N199" s="114"/>
    </row>
    <row r="200">
      <c r="B200" s="114"/>
      <c r="C200" s="89"/>
      <c r="D200" s="104"/>
      <c r="N200" s="114"/>
    </row>
    <row r="201">
      <c r="B201" s="114"/>
      <c r="C201" s="89"/>
      <c r="D201" s="104"/>
      <c r="N201" s="114"/>
    </row>
    <row r="202">
      <c r="B202" s="114"/>
      <c r="C202" s="89"/>
      <c r="D202" s="104"/>
      <c r="N202" s="114"/>
    </row>
    <row r="203">
      <c r="B203" s="114"/>
      <c r="C203" s="89"/>
      <c r="D203" s="104"/>
      <c r="N203" s="114"/>
    </row>
    <row r="204">
      <c r="B204" s="114"/>
      <c r="C204" s="89"/>
      <c r="D204" s="104"/>
      <c r="N204" s="114"/>
    </row>
    <row r="205">
      <c r="B205" s="114"/>
      <c r="C205" s="89"/>
      <c r="D205" s="104"/>
      <c r="N205" s="114"/>
    </row>
    <row r="206">
      <c r="B206" s="114"/>
      <c r="C206" s="89"/>
      <c r="D206" s="104"/>
      <c r="N206" s="114"/>
    </row>
    <row r="207">
      <c r="B207" s="114"/>
      <c r="C207" s="89"/>
      <c r="D207" s="104"/>
      <c r="N207" s="114"/>
    </row>
    <row r="208">
      <c r="B208" s="114"/>
      <c r="C208" s="89"/>
      <c r="D208" s="104"/>
      <c r="N208" s="114"/>
    </row>
    <row r="209">
      <c r="B209" s="114"/>
      <c r="C209" s="89"/>
      <c r="D209" s="104"/>
      <c r="N209" s="114"/>
    </row>
    <row r="210">
      <c r="B210" s="114"/>
      <c r="C210" s="89"/>
      <c r="D210" s="104"/>
      <c r="N210" s="114"/>
    </row>
    <row r="211">
      <c r="B211" s="114"/>
      <c r="C211" s="89"/>
      <c r="D211" s="104"/>
      <c r="N211" s="114"/>
    </row>
    <row r="212">
      <c r="B212" s="114"/>
      <c r="C212" s="89"/>
      <c r="D212" s="104"/>
      <c r="N212" s="114"/>
    </row>
    <row r="213">
      <c r="B213" s="114"/>
      <c r="C213" s="89"/>
      <c r="D213" s="104"/>
      <c r="N213" s="114"/>
    </row>
    <row r="214">
      <c r="B214" s="114"/>
      <c r="C214" s="89"/>
      <c r="D214" s="104"/>
      <c r="N214" s="114"/>
    </row>
    <row r="215">
      <c r="B215" s="114"/>
      <c r="C215" s="89"/>
      <c r="D215" s="104"/>
      <c r="N215" s="114"/>
    </row>
    <row r="216">
      <c r="B216" s="114"/>
      <c r="C216" s="89"/>
      <c r="D216" s="104"/>
      <c r="N216" s="114"/>
    </row>
    <row r="217">
      <c r="B217" s="114"/>
      <c r="C217" s="89"/>
      <c r="D217" s="104"/>
      <c r="N217" s="114"/>
    </row>
    <row r="218">
      <c r="B218" s="114"/>
      <c r="C218" s="89"/>
      <c r="D218" s="104"/>
      <c r="N218" s="114"/>
    </row>
    <row r="219">
      <c r="B219" s="114"/>
      <c r="C219" s="89"/>
      <c r="D219" s="104"/>
      <c r="N219" s="114"/>
    </row>
    <row r="220">
      <c r="B220" s="114"/>
      <c r="C220" s="89"/>
      <c r="D220" s="104"/>
      <c r="N220" s="114"/>
    </row>
    <row r="221">
      <c r="B221" s="114"/>
      <c r="C221" s="89"/>
      <c r="D221" s="104"/>
      <c r="N221" s="114"/>
    </row>
    <row r="222">
      <c r="B222" s="114"/>
      <c r="C222" s="89"/>
      <c r="D222" s="104"/>
      <c r="N222" s="114"/>
    </row>
    <row r="223">
      <c r="B223" s="114"/>
      <c r="C223" s="89"/>
      <c r="D223" s="104"/>
      <c r="N223" s="114"/>
    </row>
    <row r="224">
      <c r="B224" s="114"/>
      <c r="C224" s="89"/>
      <c r="D224" s="104"/>
      <c r="N224" s="114"/>
    </row>
    <row r="225">
      <c r="B225" s="114"/>
      <c r="C225" s="89"/>
      <c r="D225" s="104"/>
      <c r="N225" s="114"/>
    </row>
    <row r="226">
      <c r="B226" s="114"/>
      <c r="C226" s="89"/>
      <c r="D226" s="104"/>
      <c r="N226" s="114"/>
    </row>
    <row r="227">
      <c r="B227" s="114"/>
      <c r="C227" s="89"/>
      <c r="D227" s="104"/>
      <c r="N227" s="114"/>
    </row>
    <row r="228">
      <c r="B228" s="114"/>
      <c r="C228" s="89"/>
      <c r="D228" s="104"/>
      <c r="N228" s="114"/>
    </row>
    <row r="229">
      <c r="B229" s="114"/>
      <c r="C229" s="89"/>
      <c r="D229" s="104"/>
      <c r="N229" s="114"/>
    </row>
    <row r="230">
      <c r="B230" s="114"/>
      <c r="C230" s="89"/>
      <c r="D230" s="104"/>
      <c r="N230" s="114"/>
    </row>
    <row r="231">
      <c r="B231" s="114"/>
      <c r="C231" s="89"/>
      <c r="D231" s="104"/>
      <c r="N231" s="114"/>
    </row>
    <row r="232">
      <c r="B232" s="114"/>
      <c r="C232" s="89"/>
      <c r="D232" s="104"/>
      <c r="N232" s="114"/>
    </row>
    <row r="233">
      <c r="B233" s="114"/>
      <c r="C233" s="89"/>
      <c r="D233" s="104"/>
      <c r="N233" s="114"/>
    </row>
    <row r="234">
      <c r="B234" s="114"/>
      <c r="C234" s="89"/>
      <c r="D234" s="104"/>
      <c r="N234" s="114"/>
    </row>
    <row r="235">
      <c r="B235" s="114"/>
      <c r="C235" s="89"/>
      <c r="D235" s="104"/>
      <c r="N235" s="114"/>
    </row>
    <row r="236">
      <c r="B236" s="114"/>
      <c r="C236" s="89"/>
      <c r="D236" s="104"/>
      <c r="N236" s="114"/>
    </row>
    <row r="237">
      <c r="B237" s="114"/>
      <c r="C237" s="89"/>
      <c r="D237" s="104"/>
      <c r="N237" s="114"/>
    </row>
    <row r="238">
      <c r="B238" s="114"/>
      <c r="C238" s="89"/>
      <c r="D238" s="104"/>
      <c r="N238" s="114"/>
    </row>
    <row r="239">
      <c r="B239" s="114"/>
      <c r="C239" s="89"/>
      <c r="D239" s="104"/>
      <c r="N239" s="114"/>
    </row>
    <row r="240">
      <c r="B240" s="114"/>
      <c r="C240" s="89"/>
      <c r="D240" s="104"/>
      <c r="N240" s="114"/>
    </row>
    <row r="241">
      <c r="B241" s="114"/>
      <c r="C241" s="89"/>
      <c r="D241" s="104"/>
      <c r="N241" s="114"/>
    </row>
    <row r="242">
      <c r="B242" s="114"/>
      <c r="C242" s="89"/>
      <c r="D242" s="104"/>
      <c r="N242" s="114"/>
    </row>
    <row r="243">
      <c r="B243" s="114"/>
      <c r="C243" s="89"/>
      <c r="D243" s="104"/>
      <c r="N243" s="114"/>
    </row>
    <row r="244">
      <c r="B244" s="114"/>
      <c r="C244" s="89"/>
      <c r="D244" s="104"/>
      <c r="N244" s="114"/>
    </row>
    <row r="245">
      <c r="B245" s="114"/>
      <c r="C245" s="89"/>
      <c r="D245" s="104"/>
      <c r="N245" s="114"/>
    </row>
    <row r="246">
      <c r="B246" s="114"/>
      <c r="C246" s="89"/>
      <c r="D246" s="104"/>
      <c r="N246" s="114"/>
    </row>
    <row r="247">
      <c r="B247" s="114"/>
      <c r="C247" s="89"/>
      <c r="D247" s="104"/>
      <c r="N247" s="114"/>
    </row>
    <row r="248">
      <c r="B248" s="114"/>
      <c r="C248" s="89"/>
      <c r="D248" s="104"/>
      <c r="N248" s="114"/>
    </row>
    <row r="249">
      <c r="B249" s="114"/>
      <c r="C249" s="89"/>
      <c r="D249" s="104"/>
      <c r="N249" s="114"/>
    </row>
    <row r="250">
      <c r="B250" s="114"/>
      <c r="C250" s="89"/>
      <c r="D250" s="104"/>
      <c r="N250" s="114"/>
    </row>
    <row r="251">
      <c r="B251" s="114"/>
      <c r="C251" s="89"/>
      <c r="D251" s="104"/>
      <c r="N251" s="114"/>
    </row>
    <row r="252">
      <c r="B252" s="114"/>
      <c r="C252" s="89"/>
      <c r="D252" s="104"/>
      <c r="N252" s="114"/>
    </row>
    <row r="253">
      <c r="B253" s="114"/>
      <c r="C253" s="89"/>
      <c r="D253" s="104"/>
      <c r="N253" s="114"/>
    </row>
    <row r="254">
      <c r="B254" s="114"/>
      <c r="C254" s="89"/>
      <c r="D254" s="104"/>
      <c r="N254" s="114"/>
    </row>
    <row r="255">
      <c r="B255" s="114"/>
      <c r="C255" s="89"/>
      <c r="D255" s="104"/>
      <c r="N255" s="114"/>
    </row>
    <row r="256">
      <c r="B256" s="114"/>
      <c r="C256" s="89"/>
      <c r="D256" s="104"/>
      <c r="N256" s="114"/>
    </row>
    <row r="257">
      <c r="B257" s="114"/>
      <c r="C257" s="89"/>
      <c r="D257" s="104"/>
      <c r="N257" s="114"/>
    </row>
    <row r="258">
      <c r="B258" s="114"/>
      <c r="C258" s="89"/>
      <c r="D258" s="104"/>
      <c r="N258" s="114"/>
    </row>
    <row r="259">
      <c r="B259" s="114"/>
      <c r="C259" s="89"/>
      <c r="D259" s="104"/>
      <c r="N259" s="114"/>
    </row>
    <row r="260">
      <c r="B260" s="114"/>
      <c r="C260" s="89"/>
      <c r="D260" s="104"/>
      <c r="N260" s="114"/>
    </row>
    <row r="261">
      <c r="B261" s="114"/>
      <c r="C261" s="89"/>
      <c r="D261" s="104"/>
      <c r="N261" s="114"/>
    </row>
    <row r="262">
      <c r="B262" s="114"/>
      <c r="C262" s="89"/>
      <c r="D262" s="104"/>
      <c r="N262" s="114"/>
    </row>
    <row r="263">
      <c r="B263" s="114"/>
      <c r="C263" s="89"/>
      <c r="D263" s="104"/>
      <c r="N263" s="114"/>
    </row>
    <row r="264">
      <c r="B264" s="114"/>
      <c r="C264" s="89"/>
      <c r="D264" s="104"/>
      <c r="N264" s="114"/>
    </row>
    <row r="265">
      <c r="B265" s="114"/>
      <c r="C265" s="89"/>
      <c r="D265" s="104"/>
      <c r="N265" s="114"/>
    </row>
    <row r="266">
      <c r="B266" s="114"/>
      <c r="C266" s="89"/>
      <c r="D266" s="104"/>
      <c r="N266" s="114"/>
    </row>
    <row r="267">
      <c r="B267" s="114"/>
      <c r="C267" s="89"/>
      <c r="D267" s="104"/>
      <c r="N267" s="114"/>
    </row>
    <row r="268">
      <c r="B268" s="114"/>
      <c r="C268" s="89"/>
      <c r="D268" s="104"/>
      <c r="N268" s="114"/>
    </row>
    <row r="269">
      <c r="B269" s="114"/>
      <c r="C269" s="89"/>
      <c r="D269" s="104"/>
      <c r="N269" s="114"/>
    </row>
    <row r="270">
      <c r="B270" s="114"/>
      <c r="C270" s="89"/>
      <c r="D270" s="104"/>
      <c r="N270" s="114"/>
    </row>
    <row r="271">
      <c r="B271" s="114"/>
      <c r="C271" s="89"/>
      <c r="D271" s="104"/>
      <c r="N271" s="114"/>
    </row>
    <row r="272">
      <c r="B272" s="114"/>
      <c r="C272" s="89"/>
      <c r="D272" s="104"/>
      <c r="N272" s="114"/>
    </row>
    <row r="273">
      <c r="B273" s="114"/>
      <c r="C273" s="89"/>
      <c r="D273" s="104"/>
      <c r="N273" s="114"/>
    </row>
    <row r="274">
      <c r="B274" s="114"/>
      <c r="C274" s="89"/>
      <c r="D274" s="104"/>
      <c r="N274" s="114"/>
    </row>
    <row r="275">
      <c r="B275" s="114"/>
      <c r="C275" s="89"/>
      <c r="D275" s="104"/>
      <c r="N275" s="114"/>
    </row>
    <row r="276">
      <c r="B276" s="114"/>
      <c r="C276" s="89"/>
      <c r="D276" s="104"/>
      <c r="N276" s="114"/>
    </row>
    <row r="277">
      <c r="B277" s="114"/>
      <c r="C277" s="89"/>
      <c r="D277" s="104"/>
      <c r="N277" s="114"/>
    </row>
    <row r="278">
      <c r="B278" s="114"/>
      <c r="C278" s="89"/>
      <c r="D278" s="104"/>
      <c r="N278" s="114"/>
    </row>
    <row r="279">
      <c r="B279" s="114"/>
      <c r="C279" s="89"/>
      <c r="D279" s="104"/>
      <c r="N279" s="114"/>
    </row>
    <row r="280">
      <c r="B280" s="114"/>
      <c r="C280" s="89"/>
      <c r="D280" s="104"/>
      <c r="N280" s="114"/>
    </row>
    <row r="281">
      <c r="B281" s="114"/>
      <c r="C281" s="89"/>
      <c r="D281" s="104"/>
      <c r="N281" s="114"/>
    </row>
    <row r="282">
      <c r="B282" s="114"/>
      <c r="C282" s="89"/>
      <c r="D282" s="104"/>
      <c r="N282" s="114"/>
    </row>
    <row r="283">
      <c r="B283" s="114"/>
      <c r="C283" s="89"/>
      <c r="D283" s="104"/>
      <c r="N283" s="114"/>
    </row>
    <row r="284">
      <c r="B284" s="114"/>
      <c r="C284" s="89"/>
      <c r="D284" s="104"/>
      <c r="N284" s="114"/>
    </row>
    <row r="285">
      <c r="B285" s="114"/>
      <c r="C285" s="89"/>
      <c r="D285" s="104"/>
      <c r="N285" s="114"/>
    </row>
    <row r="286">
      <c r="B286" s="114"/>
      <c r="C286" s="89"/>
      <c r="D286" s="104"/>
      <c r="N286" s="114"/>
    </row>
    <row r="287">
      <c r="B287" s="114"/>
      <c r="C287" s="89"/>
      <c r="D287" s="104"/>
      <c r="N287" s="114"/>
    </row>
    <row r="288">
      <c r="B288" s="114"/>
      <c r="C288" s="89"/>
      <c r="D288" s="104"/>
      <c r="N288" s="114"/>
    </row>
    <row r="289">
      <c r="B289" s="114"/>
      <c r="C289" s="89"/>
      <c r="D289" s="104"/>
      <c r="N289" s="114"/>
    </row>
    <row r="290">
      <c r="B290" s="114"/>
      <c r="C290" s="89"/>
      <c r="D290" s="104"/>
      <c r="N290" s="114"/>
    </row>
    <row r="291">
      <c r="B291" s="114"/>
      <c r="C291" s="89"/>
      <c r="D291" s="104"/>
      <c r="N291" s="114"/>
    </row>
    <row r="292">
      <c r="B292" s="114"/>
      <c r="C292" s="89"/>
      <c r="D292" s="104"/>
      <c r="N292" s="114"/>
    </row>
    <row r="293">
      <c r="B293" s="114"/>
      <c r="C293" s="89"/>
      <c r="D293" s="104"/>
      <c r="N293" s="114"/>
    </row>
    <row r="294">
      <c r="B294" s="114"/>
      <c r="C294" s="89"/>
      <c r="D294" s="104"/>
      <c r="N294" s="114"/>
    </row>
    <row r="295">
      <c r="B295" s="114"/>
      <c r="C295" s="89"/>
      <c r="D295" s="104"/>
      <c r="N295" s="114"/>
    </row>
    <row r="296">
      <c r="B296" s="114"/>
      <c r="C296" s="89"/>
      <c r="D296" s="104"/>
      <c r="N296" s="114"/>
    </row>
    <row r="297">
      <c r="B297" s="114"/>
      <c r="C297" s="89"/>
      <c r="D297" s="104"/>
      <c r="N297" s="114"/>
    </row>
    <row r="298">
      <c r="B298" s="114"/>
      <c r="C298" s="89"/>
      <c r="D298" s="104"/>
      <c r="N298" s="114"/>
    </row>
    <row r="299">
      <c r="B299" s="114"/>
      <c r="C299" s="89"/>
      <c r="D299" s="104"/>
      <c r="N299" s="114"/>
    </row>
    <row r="300">
      <c r="B300" s="114"/>
      <c r="C300" s="89"/>
      <c r="D300" s="104"/>
      <c r="N300" s="114"/>
    </row>
    <row r="301">
      <c r="B301" s="114"/>
      <c r="C301" s="89"/>
      <c r="D301" s="104"/>
      <c r="N301" s="114"/>
    </row>
    <row r="302">
      <c r="B302" s="114"/>
      <c r="C302" s="89"/>
      <c r="D302" s="104"/>
      <c r="N302" s="114"/>
    </row>
    <row r="303">
      <c r="B303" s="114"/>
      <c r="C303" s="89"/>
      <c r="D303" s="104"/>
      <c r="N303" s="114"/>
    </row>
    <row r="304">
      <c r="B304" s="114"/>
      <c r="C304" s="89"/>
      <c r="D304" s="104"/>
      <c r="N304" s="114"/>
    </row>
    <row r="305">
      <c r="B305" s="114"/>
      <c r="C305" s="89"/>
      <c r="D305" s="104"/>
      <c r="N305" s="114"/>
    </row>
    <row r="306">
      <c r="B306" s="114"/>
      <c r="C306" s="89"/>
      <c r="D306" s="104"/>
      <c r="N306" s="114"/>
    </row>
    <row r="307">
      <c r="B307" s="114"/>
      <c r="C307" s="89"/>
      <c r="D307" s="104"/>
      <c r="N307" s="114"/>
    </row>
    <row r="308">
      <c r="B308" s="114"/>
      <c r="C308" s="89"/>
      <c r="D308" s="104"/>
      <c r="N308" s="114"/>
    </row>
    <row r="309">
      <c r="B309" s="114"/>
      <c r="C309" s="89"/>
      <c r="D309" s="104"/>
      <c r="N309" s="114"/>
    </row>
    <row r="310">
      <c r="B310" s="114"/>
      <c r="C310" s="89"/>
      <c r="D310" s="104"/>
      <c r="N310" s="114"/>
    </row>
    <row r="311">
      <c r="B311" s="114"/>
      <c r="C311" s="89"/>
      <c r="D311" s="104"/>
      <c r="N311" s="114"/>
    </row>
    <row r="312">
      <c r="B312" s="114"/>
      <c r="C312" s="89"/>
      <c r="D312" s="104"/>
      <c r="N312" s="114"/>
    </row>
    <row r="313">
      <c r="B313" s="114"/>
      <c r="C313" s="89"/>
      <c r="D313" s="104"/>
      <c r="N313" s="114"/>
    </row>
    <row r="314">
      <c r="B314" s="114"/>
      <c r="C314" s="89"/>
      <c r="D314" s="104"/>
      <c r="N314" s="114"/>
    </row>
    <row r="315">
      <c r="B315" s="114"/>
      <c r="C315" s="89"/>
      <c r="D315" s="104"/>
      <c r="N315" s="114"/>
    </row>
    <row r="316">
      <c r="B316" s="114"/>
      <c r="C316" s="89"/>
      <c r="D316" s="104"/>
      <c r="N316" s="114"/>
    </row>
    <row r="317">
      <c r="B317" s="114"/>
      <c r="C317" s="89"/>
      <c r="D317" s="104"/>
      <c r="N317" s="114"/>
    </row>
    <row r="318">
      <c r="B318" s="114"/>
      <c r="C318" s="89"/>
      <c r="D318" s="104"/>
      <c r="N318" s="114"/>
    </row>
    <row r="319">
      <c r="B319" s="114"/>
      <c r="C319" s="89"/>
      <c r="D319" s="104"/>
      <c r="N319" s="114"/>
    </row>
    <row r="320">
      <c r="B320" s="114"/>
      <c r="C320" s="89"/>
      <c r="D320" s="104"/>
      <c r="N320" s="114"/>
    </row>
    <row r="321">
      <c r="B321" s="114"/>
      <c r="C321" s="89"/>
      <c r="D321" s="104"/>
      <c r="N321" s="114"/>
    </row>
    <row r="322">
      <c r="B322" s="114"/>
      <c r="C322" s="89"/>
      <c r="D322" s="104"/>
      <c r="N322" s="114"/>
    </row>
    <row r="323">
      <c r="B323" s="114"/>
      <c r="C323" s="89"/>
      <c r="D323" s="104"/>
      <c r="N323" s="114"/>
    </row>
    <row r="324">
      <c r="B324" s="114"/>
      <c r="C324" s="89"/>
      <c r="D324" s="104"/>
      <c r="N324" s="114"/>
    </row>
    <row r="325">
      <c r="B325" s="114"/>
      <c r="C325" s="89"/>
      <c r="D325" s="104"/>
      <c r="N325" s="114"/>
    </row>
    <row r="326">
      <c r="B326" s="114"/>
      <c r="C326" s="89"/>
      <c r="D326" s="104"/>
      <c r="N326" s="114"/>
    </row>
    <row r="327">
      <c r="B327" s="114"/>
      <c r="C327" s="89"/>
      <c r="D327" s="104"/>
      <c r="N327" s="114"/>
    </row>
    <row r="328">
      <c r="B328" s="114"/>
      <c r="C328" s="89"/>
      <c r="D328" s="104"/>
      <c r="N328" s="114"/>
    </row>
    <row r="329">
      <c r="B329" s="114"/>
      <c r="C329" s="89"/>
      <c r="D329" s="104"/>
      <c r="N329" s="114"/>
    </row>
    <row r="330">
      <c r="B330" s="114"/>
      <c r="C330" s="89"/>
      <c r="D330" s="104"/>
      <c r="N330" s="114"/>
    </row>
    <row r="331">
      <c r="B331" s="114"/>
      <c r="C331" s="89"/>
      <c r="D331" s="104"/>
      <c r="N331" s="114"/>
    </row>
    <row r="332">
      <c r="B332" s="114"/>
      <c r="C332" s="89"/>
      <c r="D332" s="104"/>
      <c r="N332" s="114"/>
    </row>
    <row r="333">
      <c r="B333" s="114"/>
      <c r="C333" s="89"/>
      <c r="D333" s="104"/>
      <c r="N333" s="114"/>
    </row>
    <row r="334">
      <c r="B334" s="114"/>
      <c r="C334" s="89"/>
      <c r="D334" s="104"/>
      <c r="N334" s="114"/>
    </row>
    <row r="335">
      <c r="B335" s="114"/>
      <c r="C335" s="89"/>
      <c r="D335" s="104"/>
      <c r="N335" s="114"/>
    </row>
    <row r="336">
      <c r="B336" s="114"/>
      <c r="C336" s="89"/>
      <c r="D336" s="104"/>
      <c r="N336" s="114"/>
    </row>
    <row r="337">
      <c r="B337" s="114"/>
      <c r="C337" s="89"/>
      <c r="D337" s="104"/>
      <c r="N337" s="114"/>
    </row>
    <row r="338">
      <c r="B338" s="114"/>
      <c r="C338" s="89"/>
      <c r="D338" s="104"/>
      <c r="N338" s="114"/>
    </row>
    <row r="339">
      <c r="B339" s="114"/>
      <c r="C339" s="89"/>
      <c r="D339" s="104"/>
      <c r="N339" s="114"/>
    </row>
    <row r="340">
      <c r="B340" s="114"/>
      <c r="C340" s="89"/>
      <c r="D340" s="104"/>
      <c r="N340" s="114"/>
    </row>
    <row r="341">
      <c r="B341" s="114"/>
      <c r="C341" s="89"/>
      <c r="D341" s="104"/>
      <c r="N341" s="114"/>
    </row>
    <row r="342">
      <c r="B342" s="114"/>
      <c r="C342" s="89"/>
      <c r="D342" s="104"/>
      <c r="N342" s="114"/>
    </row>
    <row r="343">
      <c r="B343" s="114"/>
      <c r="C343" s="89"/>
      <c r="D343" s="104"/>
      <c r="N343" s="114"/>
    </row>
    <row r="344">
      <c r="B344" s="114"/>
      <c r="C344" s="89"/>
      <c r="D344" s="104"/>
      <c r="N344" s="114"/>
    </row>
    <row r="345">
      <c r="B345" s="114"/>
      <c r="C345" s="89"/>
      <c r="D345" s="104"/>
      <c r="N345" s="114"/>
    </row>
    <row r="346">
      <c r="B346" s="114"/>
      <c r="C346" s="89"/>
      <c r="D346" s="104"/>
      <c r="N346" s="114"/>
    </row>
    <row r="347">
      <c r="B347" s="114"/>
      <c r="C347" s="89"/>
      <c r="D347" s="104"/>
      <c r="N347" s="114"/>
    </row>
    <row r="348">
      <c r="B348" s="114"/>
      <c r="C348" s="89"/>
      <c r="D348" s="104"/>
      <c r="N348" s="114"/>
    </row>
    <row r="349">
      <c r="B349" s="114"/>
      <c r="C349" s="89"/>
      <c r="D349" s="104"/>
      <c r="N349" s="114"/>
    </row>
    <row r="350">
      <c r="B350" s="114"/>
      <c r="C350" s="89"/>
      <c r="D350" s="104"/>
      <c r="N350" s="114"/>
    </row>
    <row r="351">
      <c r="B351" s="114"/>
      <c r="C351" s="89"/>
      <c r="D351" s="104"/>
      <c r="N351" s="114"/>
    </row>
    <row r="352">
      <c r="B352" s="114"/>
      <c r="C352" s="89"/>
      <c r="D352" s="104"/>
      <c r="N352" s="114"/>
    </row>
    <row r="353">
      <c r="B353" s="114"/>
      <c r="C353" s="89"/>
      <c r="D353" s="104"/>
      <c r="N353" s="114"/>
    </row>
    <row r="354">
      <c r="B354" s="114"/>
      <c r="C354" s="89"/>
      <c r="D354" s="104"/>
      <c r="N354" s="114"/>
    </row>
    <row r="355">
      <c r="B355" s="114"/>
      <c r="C355" s="89"/>
      <c r="D355" s="104"/>
      <c r="N355" s="114"/>
    </row>
    <row r="356">
      <c r="B356" s="114"/>
      <c r="C356" s="89"/>
      <c r="D356" s="104"/>
      <c r="N356" s="114"/>
    </row>
    <row r="357">
      <c r="B357" s="114"/>
      <c r="C357" s="89"/>
      <c r="D357" s="104"/>
      <c r="N357" s="114"/>
    </row>
    <row r="358">
      <c r="B358" s="114"/>
      <c r="C358" s="89"/>
      <c r="D358" s="104"/>
      <c r="N358" s="114"/>
    </row>
    <row r="359">
      <c r="B359" s="114"/>
      <c r="C359" s="89"/>
      <c r="D359" s="104"/>
      <c r="N359" s="114"/>
    </row>
    <row r="360">
      <c r="B360" s="114"/>
      <c r="C360" s="89"/>
      <c r="D360" s="104"/>
      <c r="N360" s="114"/>
    </row>
    <row r="361">
      <c r="B361" s="114"/>
      <c r="C361" s="89"/>
      <c r="D361" s="104"/>
      <c r="N361" s="114"/>
    </row>
    <row r="362">
      <c r="B362" s="114"/>
      <c r="C362" s="89"/>
      <c r="D362" s="104"/>
      <c r="N362" s="114"/>
    </row>
    <row r="363">
      <c r="B363" s="114"/>
      <c r="C363" s="89"/>
      <c r="D363" s="104"/>
      <c r="N363" s="114"/>
    </row>
    <row r="364">
      <c r="B364" s="114"/>
      <c r="C364" s="89"/>
      <c r="D364" s="104"/>
      <c r="N364" s="114"/>
    </row>
    <row r="365">
      <c r="B365" s="114"/>
      <c r="C365" s="89"/>
      <c r="D365" s="104"/>
      <c r="N365" s="114"/>
    </row>
    <row r="366">
      <c r="B366" s="114"/>
      <c r="C366" s="89"/>
      <c r="D366" s="104"/>
      <c r="N366" s="114"/>
    </row>
    <row r="367">
      <c r="B367" s="114"/>
      <c r="C367" s="89"/>
      <c r="D367" s="104"/>
      <c r="N367" s="114"/>
    </row>
    <row r="368">
      <c r="B368" s="114"/>
      <c r="C368" s="89"/>
      <c r="D368" s="104"/>
      <c r="N368" s="114"/>
    </row>
    <row r="369">
      <c r="B369" s="114"/>
      <c r="C369" s="89"/>
      <c r="D369" s="104"/>
      <c r="N369" s="114"/>
    </row>
    <row r="370">
      <c r="B370" s="114"/>
      <c r="C370" s="89"/>
      <c r="D370" s="104"/>
      <c r="N370" s="114"/>
    </row>
    <row r="371">
      <c r="B371" s="114"/>
      <c r="C371" s="89"/>
      <c r="D371" s="104"/>
      <c r="N371" s="114"/>
    </row>
    <row r="372">
      <c r="B372" s="114"/>
      <c r="C372" s="89"/>
      <c r="D372" s="104"/>
      <c r="N372" s="114"/>
    </row>
    <row r="373">
      <c r="B373" s="114"/>
      <c r="C373" s="89"/>
      <c r="D373" s="104"/>
      <c r="N373" s="114"/>
    </row>
    <row r="374">
      <c r="B374" s="114"/>
      <c r="C374" s="89"/>
      <c r="D374" s="104"/>
      <c r="N374" s="114"/>
    </row>
    <row r="375">
      <c r="B375" s="114"/>
      <c r="C375" s="89"/>
      <c r="D375" s="104"/>
      <c r="N375" s="114"/>
    </row>
    <row r="376">
      <c r="B376" s="114"/>
      <c r="C376" s="89"/>
      <c r="D376" s="104"/>
      <c r="N376" s="114"/>
    </row>
    <row r="377">
      <c r="B377" s="114"/>
      <c r="C377" s="89"/>
      <c r="D377" s="104"/>
      <c r="N377" s="114"/>
    </row>
    <row r="378">
      <c r="B378" s="114"/>
      <c r="C378" s="89"/>
      <c r="D378" s="104"/>
      <c r="N378" s="114"/>
    </row>
    <row r="379">
      <c r="B379" s="114"/>
      <c r="C379" s="89"/>
      <c r="D379" s="104"/>
      <c r="N379" s="114"/>
    </row>
    <row r="380">
      <c r="B380" s="114"/>
      <c r="C380" s="89"/>
      <c r="D380" s="104"/>
      <c r="N380" s="114"/>
    </row>
    <row r="381">
      <c r="B381" s="114"/>
      <c r="C381" s="89"/>
      <c r="D381" s="104"/>
      <c r="N381" s="114"/>
    </row>
    <row r="382">
      <c r="B382" s="114"/>
      <c r="C382" s="89"/>
      <c r="D382" s="104"/>
      <c r="N382" s="114"/>
    </row>
    <row r="383">
      <c r="B383" s="114"/>
      <c r="C383" s="89"/>
      <c r="D383" s="104"/>
      <c r="N383" s="114"/>
    </row>
    <row r="384">
      <c r="B384" s="114"/>
      <c r="C384" s="89"/>
      <c r="D384" s="104"/>
      <c r="N384" s="114"/>
    </row>
    <row r="385">
      <c r="B385" s="114"/>
      <c r="C385" s="89"/>
      <c r="D385" s="104"/>
      <c r="N385" s="114"/>
    </row>
    <row r="386">
      <c r="B386" s="114"/>
      <c r="C386" s="89"/>
      <c r="D386" s="104"/>
      <c r="N386" s="114"/>
    </row>
    <row r="387">
      <c r="B387" s="114"/>
      <c r="C387" s="89"/>
      <c r="D387" s="104"/>
      <c r="N387" s="114"/>
    </row>
    <row r="388">
      <c r="B388" s="114"/>
      <c r="C388" s="89"/>
      <c r="D388" s="104"/>
      <c r="N388" s="114"/>
    </row>
    <row r="389">
      <c r="B389" s="114"/>
      <c r="C389" s="89"/>
      <c r="D389" s="104"/>
      <c r="N389" s="114"/>
    </row>
    <row r="390">
      <c r="B390" s="114"/>
      <c r="C390" s="89"/>
      <c r="D390" s="104"/>
      <c r="N390" s="114"/>
    </row>
    <row r="391">
      <c r="B391" s="114"/>
      <c r="C391" s="89"/>
      <c r="D391" s="104"/>
      <c r="N391" s="114"/>
    </row>
    <row r="392">
      <c r="B392" s="114"/>
      <c r="C392" s="89"/>
      <c r="D392" s="104"/>
      <c r="N392" s="114"/>
    </row>
    <row r="393">
      <c r="B393" s="114"/>
      <c r="C393" s="89"/>
      <c r="D393" s="104"/>
      <c r="N393" s="114"/>
    </row>
    <row r="394">
      <c r="B394" s="114"/>
      <c r="C394" s="89"/>
      <c r="D394" s="104"/>
      <c r="N394" s="114"/>
    </row>
    <row r="395">
      <c r="B395" s="114"/>
      <c r="C395" s="89"/>
      <c r="D395" s="104"/>
      <c r="N395" s="114"/>
    </row>
    <row r="396">
      <c r="B396" s="114"/>
      <c r="C396" s="89"/>
      <c r="D396" s="104"/>
      <c r="N396" s="114"/>
    </row>
    <row r="397">
      <c r="B397" s="114"/>
      <c r="C397" s="89"/>
      <c r="D397" s="104"/>
      <c r="N397" s="114"/>
    </row>
    <row r="398">
      <c r="B398" s="114"/>
      <c r="C398" s="89"/>
      <c r="D398" s="104"/>
      <c r="N398" s="114"/>
    </row>
    <row r="399">
      <c r="B399" s="114"/>
      <c r="C399" s="89"/>
      <c r="D399" s="104"/>
      <c r="N399" s="114"/>
    </row>
    <row r="400">
      <c r="B400" s="114"/>
      <c r="C400" s="89"/>
      <c r="D400" s="104"/>
      <c r="N400" s="114"/>
    </row>
    <row r="401">
      <c r="B401" s="114"/>
      <c r="C401" s="89"/>
      <c r="D401" s="104"/>
      <c r="N401" s="114"/>
    </row>
    <row r="402">
      <c r="B402" s="114"/>
      <c r="C402" s="89"/>
      <c r="D402" s="104"/>
      <c r="N402" s="114"/>
    </row>
    <row r="403">
      <c r="B403" s="114"/>
      <c r="C403" s="89"/>
      <c r="D403" s="104"/>
      <c r="N403" s="114"/>
    </row>
    <row r="404">
      <c r="B404" s="114"/>
      <c r="C404" s="89"/>
      <c r="D404" s="104"/>
      <c r="N404" s="114"/>
    </row>
    <row r="405">
      <c r="B405" s="114"/>
      <c r="C405" s="89"/>
      <c r="D405" s="104"/>
      <c r="N405" s="114"/>
    </row>
    <row r="406">
      <c r="B406" s="114"/>
      <c r="C406" s="89"/>
      <c r="D406" s="104"/>
      <c r="N406" s="114"/>
    </row>
    <row r="407">
      <c r="B407" s="114"/>
      <c r="C407" s="89"/>
      <c r="D407" s="104"/>
      <c r="N407" s="114"/>
    </row>
    <row r="408">
      <c r="B408" s="114"/>
      <c r="C408" s="89"/>
      <c r="D408" s="104"/>
      <c r="N408" s="114"/>
    </row>
    <row r="409">
      <c r="B409" s="114"/>
      <c r="C409" s="89"/>
      <c r="D409" s="104"/>
      <c r="N409" s="114"/>
    </row>
    <row r="410">
      <c r="B410" s="114"/>
      <c r="C410" s="89"/>
      <c r="D410" s="104"/>
      <c r="N410" s="114"/>
    </row>
    <row r="411">
      <c r="B411" s="114"/>
      <c r="C411" s="89"/>
      <c r="D411" s="104"/>
      <c r="N411" s="114"/>
    </row>
    <row r="412">
      <c r="B412" s="114"/>
      <c r="C412" s="89"/>
      <c r="D412" s="104"/>
      <c r="N412" s="114"/>
    </row>
    <row r="413">
      <c r="B413" s="114"/>
      <c r="C413" s="89"/>
      <c r="D413" s="104"/>
      <c r="N413" s="114"/>
    </row>
    <row r="414">
      <c r="B414" s="114"/>
      <c r="C414" s="89"/>
      <c r="D414" s="104"/>
      <c r="N414" s="114"/>
    </row>
    <row r="415">
      <c r="B415" s="114"/>
      <c r="C415" s="89"/>
      <c r="D415" s="104"/>
      <c r="N415" s="114"/>
    </row>
    <row r="416">
      <c r="B416" s="114"/>
      <c r="C416" s="89"/>
      <c r="D416" s="104"/>
      <c r="N416" s="114"/>
    </row>
    <row r="417">
      <c r="B417" s="114"/>
      <c r="C417" s="89"/>
      <c r="D417" s="104"/>
      <c r="N417" s="114"/>
    </row>
    <row r="418">
      <c r="B418" s="114"/>
      <c r="C418" s="89"/>
      <c r="D418" s="104"/>
      <c r="N418" s="114"/>
    </row>
    <row r="419">
      <c r="B419" s="114"/>
      <c r="C419" s="89"/>
      <c r="D419" s="104"/>
      <c r="N419" s="114"/>
    </row>
    <row r="420">
      <c r="B420" s="114"/>
      <c r="C420" s="89"/>
      <c r="D420" s="104"/>
      <c r="N420" s="114"/>
    </row>
    <row r="421">
      <c r="B421" s="114"/>
      <c r="C421" s="89"/>
      <c r="D421" s="104"/>
      <c r="N421" s="114"/>
    </row>
    <row r="422">
      <c r="B422" s="114"/>
      <c r="C422" s="89"/>
      <c r="D422" s="104"/>
      <c r="N422" s="114"/>
    </row>
    <row r="423">
      <c r="B423" s="114"/>
      <c r="C423" s="89"/>
      <c r="D423" s="104"/>
      <c r="N423" s="114"/>
    </row>
    <row r="424">
      <c r="B424" s="114"/>
      <c r="C424" s="89"/>
      <c r="D424" s="104"/>
      <c r="N424" s="114"/>
    </row>
    <row r="425">
      <c r="B425" s="114"/>
      <c r="C425" s="89"/>
      <c r="D425" s="104"/>
      <c r="N425" s="114"/>
    </row>
    <row r="426">
      <c r="B426" s="114"/>
      <c r="C426" s="89"/>
      <c r="D426" s="104"/>
      <c r="N426" s="114"/>
    </row>
    <row r="427">
      <c r="B427" s="114"/>
      <c r="C427" s="89"/>
      <c r="D427" s="104"/>
      <c r="N427" s="114"/>
    </row>
    <row r="428">
      <c r="B428" s="114"/>
      <c r="C428" s="89"/>
      <c r="D428" s="104"/>
      <c r="N428" s="114"/>
    </row>
    <row r="429">
      <c r="B429" s="114"/>
      <c r="C429" s="89"/>
      <c r="D429" s="104"/>
      <c r="N429" s="114"/>
    </row>
    <row r="430">
      <c r="B430" s="114"/>
      <c r="C430" s="89"/>
      <c r="D430" s="104"/>
      <c r="N430" s="114"/>
    </row>
    <row r="431">
      <c r="B431" s="114"/>
      <c r="C431" s="89"/>
      <c r="D431" s="104"/>
      <c r="N431" s="114"/>
    </row>
    <row r="432">
      <c r="B432" s="114"/>
      <c r="C432" s="89"/>
      <c r="D432" s="104"/>
      <c r="N432" s="114"/>
    </row>
    <row r="433">
      <c r="B433" s="114"/>
      <c r="C433" s="89"/>
      <c r="D433" s="104"/>
      <c r="N433" s="114"/>
    </row>
    <row r="434">
      <c r="B434" s="114"/>
      <c r="C434" s="89"/>
      <c r="D434" s="104"/>
      <c r="N434" s="114"/>
    </row>
    <row r="435">
      <c r="B435" s="114"/>
      <c r="C435" s="89"/>
      <c r="D435" s="104"/>
      <c r="N435" s="114"/>
    </row>
    <row r="436">
      <c r="B436" s="114"/>
      <c r="C436" s="89"/>
      <c r="D436" s="104"/>
      <c r="N436" s="114"/>
    </row>
    <row r="437">
      <c r="B437" s="114"/>
      <c r="C437" s="89"/>
      <c r="D437" s="104"/>
      <c r="N437" s="114"/>
    </row>
    <row r="438">
      <c r="B438" s="114"/>
      <c r="C438" s="89"/>
      <c r="D438" s="104"/>
      <c r="N438" s="114"/>
    </row>
    <row r="439">
      <c r="B439" s="114"/>
      <c r="C439" s="89"/>
      <c r="D439" s="104"/>
      <c r="N439" s="114"/>
    </row>
    <row r="440">
      <c r="B440" s="114"/>
      <c r="C440" s="89"/>
      <c r="D440" s="104"/>
      <c r="N440" s="114"/>
    </row>
    <row r="441">
      <c r="B441" s="114"/>
      <c r="C441" s="89"/>
      <c r="D441" s="104"/>
      <c r="N441" s="114"/>
    </row>
    <row r="442">
      <c r="B442" s="114"/>
      <c r="C442" s="89"/>
      <c r="D442" s="104"/>
      <c r="N442" s="114"/>
    </row>
    <row r="443">
      <c r="B443" s="114"/>
      <c r="C443" s="89"/>
      <c r="D443" s="104"/>
      <c r="N443" s="114"/>
    </row>
    <row r="444">
      <c r="B444" s="114"/>
      <c r="C444" s="89"/>
      <c r="D444" s="104"/>
      <c r="N444" s="114"/>
    </row>
    <row r="445">
      <c r="B445" s="114"/>
      <c r="C445" s="89"/>
      <c r="D445" s="104"/>
      <c r="N445" s="114"/>
    </row>
    <row r="446">
      <c r="B446" s="114"/>
      <c r="C446" s="89"/>
      <c r="D446" s="104"/>
      <c r="N446" s="114"/>
    </row>
    <row r="447">
      <c r="B447" s="114"/>
      <c r="C447" s="89"/>
      <c r="D447" s="104"/>
      <c r="N447" s="114"/>
    </row>
    <row r="448">
      <c r="B448" s="114"/>
      <c r="C448" s="89"/>
      <c r="D448" s="104"/>
      <c r="N448" s="114"/>
    </row>
    <row r="449">
      <c r="B449" s="114"/>
      <c r="C449" s="89"/>
      <c r="D449" s="104"/>
      <c r="N449" s="114"/>
    </row>
    <row r="450">
      <c r="B450" s="114"/>
      <c r="C450" s="89"/>
      <c r="D450" s="104"/>
      <c r="N450" s="114"/>
    </row>
    <row r="451">
      <c r="B451" s="114"/>
      <c r="C451" s="89"/>
      <c r="D451" s="104"/>
      <c r="N451" s="114"/>
    </row>
    <row r="452">
      <c r="B452" s="114"/>
      <c r="C452" s="89"/>
      <c r="D452" s="104"/>
      <c r="N452" s="114"/>
    </row>
    <row r="453">
      <c r="B453" s="114"/>
      <c r="C453" s="89"/>
      <c r="D453" s="104"/>
      <c r="N453" s="114"/>
    </row>
    <row r="454">
      <c r="B454" s="114"/>
      <c r="C454" s="89"/>
      <c r="D454" s="104"/>
      <c r="N454" s="114"/>
    </row>
    <row r="455">
      <c r="B455" s="114"/>
      <c r="C455" s="89"/>
      <c r="D455" s="104"/>
      <c r="N455" s="114"/>
    </row>
    <row r="456">
      <c r="B456" s="114"/>
      <c r="C456" s="89"/>
      <c r="D456" s="104"/>
      <c r="N456" s="114"/>
    </row>
    <row r="457">
      <c r="B457" s="114"/>
      <c r="C457" s="89"/>
      <c r="D457" s="104"/>
      <c r="N457" s="114"/>
    </row>
    <row r="458">
      <c r="B458" s="114"/>
      <c r="C458" s="89"/>
      <c r="D458" s="104"/>
      <c r="N458" s="114"/>
    </row>
    <row r="459">
      <c r="B459" s="114"/>
      <c r="C459" s="89"/>
      <c r="D459" s="104"/>
      <c r="N459" s="114"/>
    </row>
    <row r="460">
      <c r="B460" s="114"/>
      <c r="C460" s="89"/>
      <c r="D460" s="104"/>
      <c r="N460" s="114"/>
    </row>
    <row r="461">
      <c r="B461" s="114"/>
      <c r="C461" s="89"/>
      <c r="D461" s="104"/>
      <c r="N461" s="114"/>
    </row>
    <row r="462">
      <c r="B462" s="114"/>
      <c r="C462" s="89"/>
      <c r="D462" s="104"/>
      <c r="N462" s="114"/>
    </row>
    <row r="463">
      <c r="B463" s="114"/>
      <c r="C463" s="89"/>
      <c r="D463" s="104"/>
      <c r="N463" s="114"/>
    </row>
    <row r="464">
      <c r="B464" s="114"/>
      <c r="C464" s="89"/>
      <c r="D464" s="104"/>
      <c r="N464" s="114"/>
    </row>
    <row r="465">
      <c r="B465" s="114"/>
      <c r="C465" s="89"/>
      <c r="D465" s="104"/>
      <c r="N465" s="114"/>
    </row>
    <row r="466">
      <c r="B466" s="114"/>
      <c r="C466" s="89"/>
      <c r="D466" s="104"/>
      <c r="N466" s="114"/>
    </row>
    <row r="467">
      <c r="B467" s="114"/>
      <c r="C467" s="89"/>
      <c r="D467" s="104"/>
      <c r="N467" s="114"/>
    </row>
    <row r="468">
      <c r="B468" s="114"/>
      <c r="C468" s="89"/>
      <c r="D468" s="104"/>
      <c r="N468" s="114"/>
    </row>
    <row r="469">
      <c r="B469" s="114"/>
      <c r="C469" s="89"/>
      <c r="D469" s="104"/>
      <c r="N469" s="114"/>
    </row>
    <row r="470">
      <c r="B470" s="114"/>
      <c r="C470" s="89"/>
      <c r="D470" s="104"/>
      <c r="N470" s="114"/>
    </row>
    <row r="471">
      <c r="B471" s="114"/>
      <c r="C471" s="89"/>
      <c r="D471" s="104"/>
      <c r="N471" s="114"/>
    </row>
    <row r="472">
      <c r="B472" s="114"/>
      <c r="C472" s="89"/>
      <c r="D472" s="104"/>
      <c r="N472" s="114"/>
    </row>
    <row r="473">
      <c r="B473" s="114"/>
      <c r="C473" s="89"/>
      <c r="D473" s="104"/>
      <c r="N473" s="114"/>
    </row>
    <row r="474">
      <c r="B474" s="114"/>
      <c r="C474" s="89"/>
      <c r="D474" s="104"/>
      <c r="N474" s="114"/>
    </row>
    <row r="475">
      <c r="B475" s="114"/>
      <c r="C475" s="89"/>
      <c r="D475" s="104"/>
      <c r="N475" s="114"/>
    </row>
    <row r="476">
      <c r="B476" s="114"/>
      <c r="C476" s="89"/>
      <c r="D476" s="104"/>
      <c r="N476" s="114"/>
    </row>
    <row r="477">
      <c r="B477" s="114"/>
      <c r="C477" s="89"/>
      <c r="D477" s="104"/>
      <c r="N477" s="114"/>
    </row>
    <row r="478">
      <c r="B478" s="114"/>
      <c r="C478" s="89"/>
      <c r="D478" s="104"/>
      <c r="N478" s="114"/>
    </row>
    <row r="479">
      <c r="B479" s="114"/>
      <c r="C479" s="89"/>
      <c r="D479" s="104"/>
      <c r="N479" s="114"/>
    </row>
    <row r="480">
      <c r="B480" s="114"/>
      <c r="C480" s="89"/>
      <c r="D480" s="104"/>
      <c r="N480" s="114"/>
    </row>
    <row r="481">
      <c r="B481" s="114"/>
      <c r="C481" s="89"/>
      <c r="D481" s="104"/>
      <c r="N481" s="114"/>
    </row>
    <row r="482">
      <c r="B482" s="114"/>
      <c r="C482" s="89"/>
      <c r="D482" s="104"/>
      <c r="N482" s="114"/>
    </row>
    <row r="483">
      <c r="B483" s="114"/>
      <c r="C483" s="89"/>
      <c r="D483" s="104"/>
      <c r="N483" s="114"/>
    </row>
    <row r="484">
      <c r="B484" s="114"/>
      <c r="C484" s="89"/>
      <c r="D484" s="104"/>
      <c r="N484" s="114"/>
    </row>
    <row r="485">
      <c r="B485" s="114"/>
      <c r="C485" s="89"/>
      <c r="D485" s="104"/>
      <c r="N485" s="114"/>
    </row>
    <row r="486">
      <c r="B486" s="114"/>
      <c r="C486" s="89"/>
      <c r="D486" s="104"/>
      <c r="N486" s="114"/>
    </row>
    <row r="487">
      <c r="B487" s="114"/>
      <c r="C487" s="89"/>
      <c r="D487" s="104"/>
      <c r="N487" s="114"/>
    </row>
    <row r="488">
      <c r="B488" s="114"/>
      <c r="C488" s="89"/>
      <c r="D488" s="104"/>
      <c r="N488" s="114"/>
    </row>
    <row r="489">
      <c r="B489" s="114"/>
      <c r="C489" s="89"/>
      <c r="D489" s="104"/>
      <c r="N489" s="114"/>
    </row>
    <row r="490">
      <c r="B490" s="114"/>
      <c r="C490" s="89"/>
      <c r="D490" s="104"/>
      <c r="N490" s="114"/>
    </row>
    <row r="491">
      <c r="B491" s="114"/>
      <c r="C491" s="89"/>
      <c r="D491" s="104"/>
      <c r="N491" s="114"/>
    </row>
    <row r="492">
      <c r="B492" s="114"/>
      <c r="C492" s="89"/>
      <c r="D492" s="104"/>
      <c r="N492" s="114"/>
    </row>
    <row r="493">
      <c r="B493" s="114"/>
      <c r="C493" s="89"/>
      <c r="D493" s="104"/>
      <c r="N493" s="114"/>
    </row>
    <row r="494">
      <c r="B494" s="114"/>
      <c r="C494" s="89"/>
      <c r="D494" s="104"/>
      <c r="N494" s="114"/>
    </row>
    <row r="495">
      <c r="B495" s="114"/>
      <c r="C495" s="89"/>
      <c r="D495" s="104"/>
      <c r="N495" s="114"/>
    </row>
    <row r="496">
      <c r="B496" s="114"/>
      <c r="C496" s="89"/>
      <c r="D496" s="104"/>
      <c r="N496" s="114"/>
    </row>
    <row r="497">
      <c r="B497" s="114"/>
      <c r="C497" s="89"/>
      <c r="D497" s="104"/>
      <c r="N497" s="114"/>
    </row>
    <row r="498">
      <c r="B498" s="114"/>
      <c r="C498" s="89"/>
      <c r="D498" s="104"/>
      <c r="N498" s="114"/>
    </row>
    <row r="499">
      <c r="B499" s="114"/>
      <c r="C499" s="89"/>
      <c r="D499" s="104"/>
      <c r="N499" s="114"/>
    </row>
    <row r="500">
      <c r="B500" s="114"/>
      <c r="C500" s="89"/>
      <c r="D500" s="104"/>
      <c r="N500" s="114"/>
    </row>
    <row r="501">
      <c r="B501" s="114"/>
      <c r="C501" s="89"/>
      <c r="D501" s="104"/>
      <c r="N501" s="114"/>
    </row>
    <row r="502">
      <c r="B502" s="114"/>
      <c r="C502" s="89"/>
      <c r="D502" s="104"/>
      <c r="N502" s="114"/>
    </row>
    <row r="503">
      <c r="B503" s="114"/>
      <c r="C503" s="89"/>
      <c r="D503" s="104"/>
      <c r="N503" s="114"/>
    </row>
    <row r="504">
      <c r="B504" s="114"/>
      <c r="C504" s="89"/>
      <c r="D504" s="104"/>
      <c r="N504" s="114"/>
    </row>
    <row r="505">
      <c r="B505" s="114"/>
      <c r="C505" s="89"/>
      <c r="D505" s="104"/>
      <c r="N505" s="114"/>
    </row>
    <row r="506">
      <c r="B506" s="114"/>
      <c r="C506" s="89"/>
      <c r="D506" s="104"/>
      <c r="N506" s="114"/>
    </row>
    <row r="507">
      <c r="B507" s="114"/>
      <c r="C507" s="89"/>
      <c r="D507" s="104"/>
      <c r="N507" s="114"/>
    </row>
    <row r="508">
      <c r="B508" s="114"/>
      <c r="C508" s="89"/>
      <c r="D508" s="104"/>
      <c r="N508" s="114"/>
    </row>
    <row r="509">
      <c r="B509" s="114"/>
      <c r="C509" s="89"/>
      <c r="D509" s="104"/>
      <c r="N509" s="114"/>
    </row>
    <row r="510">
      <c r="B510" s="114"/>
      <c r="C510" s="89"/>
      <c r="D510" s="104"/>
      <c r="N510" s="114"/>
    </row>
    <row r="511">
      <c r="B511" s="114"/>
      <c r="C511" s="89"/>
      <c r="D511" s="104"/>
      <c r="N511" s="114"/>
    </row>
    <row r="512">
      <c r="B512" s="114"/>
      <c r="C512" s="89"/>
      <c r="D512" s="104"/>
      <c r="N512" s="114"/>
    </row>
    <row r="513">
      <c r="B513" s="114"/>
      <c r="C513" s="89"/>
      <c r="D513" s="104"/>
      <c r="N513" s="114"/>
    </row>
    <row r="514">
      <c r="B514" s="114"/>
      <c r="C514" s="89"/>
      <c r="D514" s="104"/>
      <c r="N514" s="114"/>
    </row>
    <row r="515">
      <c r="B515" s="114"/>
      <c r="C515" s="89"/>
      <c r="D515" s="104"/>
      <c r="N515" s="114"/>
    </row>
    <row r="516">
      <c r="B516" s="114"/>
      <c r="C516" s="89"/>
      <c r="D516" s="104"/>
      <c r="N516" s="114"/>
    </row>
    <row r="517">
      <c r="B517" s="114"/>
      <c r="C517" s="89"/>
      <c r="D517" s="104"/>
      <c r="N517" s="114"/>
    </row>
    <row r="518">
      <c r="B518" s="114"/>
      <c r="C518" s="89"/>
      <c r="D518" s="104"/>
      <c r="N518" s="114"/>
    </row>
    <row r="519">
      <c r="B519" s="114"/>
      <c r="C519" s="89"/>
      <c r="D519" s="104"/>
      <c r="N519" s="114"/>
    </row>
    <row r="520">
      <c r="B520" s="114"/>
      <c r="C520" s="89"/>
      <c r="D520" s="104"/>
      <c r="N520" s="114"/>
    </row>
    <row r="521">
      <c r="B521" s="114"/>
      <c r="C521" s="89"/>
      <c r="D521" s="104"/>
      <c r="N521" s="114"/>
    </row>
    <row r="522">
      <c r="B522" s="114"/>
      <c r="C522" s="89"/>
      <c r="D522" s="104"/>
      <c r="N522" s="114"/>
    </row>
    <row r="523">
      <c r="B523" s="114"/>
      <c r="C523" s="89"/>
      <c r="D523" s="104"/>
      <c r="N523" s="114"/>
    </row>
    <row r="524">
      <c r="B524" s="114"/>
      <c r="C524" s="89"/>
      <c r="D524" s="104"/>
      <c r="N524" s="114"/>
    </row>
    <row r="525">
      <c r="B525" s="114"/>
      <c r="C525" s="89"/>
      <c r="D525" s="104"/>
      <c r="N525" s="114"/>
    </row>
    <row r="526">
      <c r="B526" s="114"/>
      <c r="C526" s="89"/>
      <c r="D526" s="104"/>
      <c r="N526" s="114"/>
    </row>
    <row r="527">
      <c r="B527" s="114"/>
      <c r="C527" s="89"/>
      <c r="D527" s="104"/>
      <c r="N527" s="114"/>
    </row>
    <row r="528">
      <c r="B528" s="114"/>
      <c r="C528" s="89"/>
      <c r="D528" s="104"/>
      <c r="N528" s="114"/>
    </row>
    <row r="529">
      <c r="B529" s="114"/>
      <c r="C529" s="89"/>
      <c r="D529" s="104"/>
      <c r="N529" s="114"/>
    </row>
    <row r="530">
      <c r="B530" s="114"/>
      <c r="C530" s="89"/>
      <c r="D530" s="104"/>
      <c r="N530" s="114"/>
    </row>
    <row r="531">
      <c r="B531" s="114"/>
      <c r="C531" s="89"/>
      <c r="D531" s="104"/>
      <c r="N531" s="114"/>
    </row>
    <row r="532">
      <c r="B532" s="114"/>
      <c r="C532" s="89"/>
      <c r="D532" s="104"/>
      <c r="N532" s="114"/>
    </row>
    <row r="533">
      <c r="B533" s="114"/>
      <c r="C533" s="89"/>
      <c r="D533" s="104"/>
      <c r="N533" s="114"/>
    </row>
    <row r="534">
      <c r="B534" s="114"/>
      <c r="C534" s="89"/>
      <c r="D534" s="104"/>
      <c r="N534" s="114"/>
    </row>
    <row r="535">
      <c r="B535" s="114"/>
      <c r="C535" s="89"/>
      <c r="D535" s="104"/>
      <c r="N535" s="114"/>
    </row>
    <row r="536">
      <c r="B536" s="114"/>
      <c r="C536" s="89"/>
      <c r="D536" s="104"/>
      <c r="N536" s="114"/>
    </row>
    <row r="537">
      <c r="B537" s="114"/>
      <c r="C537" s="89"/>
      <c r="D537" s="104"/>
      <c r="N537" s="114"/>
    </row>
    <row r="538">
      <c r="B538" s="114"/>
      <c r="C538" s="89"/>
      <c r="D538" s="104"/>
      <c r="N538" s="114"/>
    </row>
    <row r="539">
      <c r="B539" s="114"/>
      <c r="C539" s="89"/>
      <c r="D539" s="104"/>
      <c r="N539" s="114"/>
    </row>
    <row r="540">
      <c r="B540" s="114"/>
      <c r="C540" s="89"/>
      <c r="D540" s="104"/>
      <c r="N540" s="114"/>
    </row>
    <row r="541">
      <c r="B541" s="114"/>
      <c r="C541" s="89"/>
      <c r="D541" s="104"/>
      <c r="N541" s="114"/>
    </row>
    <row r="542">
      <c r="B542" s="114"/>
      <c r="C542" s="89"/>
      <c r="D542" s="104"/>
      <c r="N542" s="114"/>
    </row>
    <row r="543">
      <c r="B543" s="114"/>
      <c r="C543" s="89"/>
      <c r="D543" s="104"/>
      <c r="N543" s="114"/>
    </row>
    <row r="544">
      <c r="B544" s="114"/>
      <c r="C544" s="89"/>
      <c r="D544" s="104"/>
      <c r="N544" s="114"/>
    </row>
    <row r="545">
      <c r="B545" s="114"/>
      <c r="C545" s="89"/>
      <c r="D545" s="104"/>
      <c r="N545" s="114"/>
    </row>
    <row r="546">
      <c r="B546" s="114"/>
      <c r="C546" s="89"/>
      <c r="D546" s="104"/>
      <c r="N546" s="114"/>
    </row>
    <row r="547">
      <c r="B547" s="114"/>
      <c r="C547" s="89"/>
      <c r="D547" s="104"/>
      <c r="N547" s="114"/>
    </row>
    <row r="548">
      <c r="B548" s="114"/>
      <c r="C548" s="89"/>
      <c r="D548" s="104"/>
      <c r="N548" s="114"/>
    </row>
    <row r="549">
      <c r="B549" s="114"/>
      <c r="C549" s="89"/>
      <c r="D549" s="104"/>
      <c r="N549" s="114"/>
    </row>
    <row r="550">
      <c r="B550" s="114"/>
      <c r="C550" s="89"/>
      <c r="D550" s="104"/>
      <c r="N550" s="114"/>
    </row>
    <row r="551">
      <c r="B551" s="114"/>
      <c r="C551" s="89"/>
      <c r="D551" s="104"/>
      <c r="N551" s="114"/>
    </row>
    <row r="552">
      <c r="B552" s="114"/>
      <c r="C552" s="89"/>
      <c r="D552" s="104"/>
      <c r="N552" s="114"/>
    </row>
    <row r="553">
      <c r="B553" s="114"/>
      <c r="C553" s="89"/>
      <c r="D553" s="104"/>
      <c r="N553" s="114"/>
    </row>
    <row r="554">
      <c r="B554" s="114"/>
      <c r="C554" s="89"/>
      <c r="D554" s="104"/>
      <c r="N554" s="114"/>
    </row>
    <row r="555">
      <c r="B555" s="114"/>
      <c r="C555" s="89"/>
      <c r="D555" s="104"/>
      <c r="N555" s="114"/>
    </row>
    <row r="556">
      <c r="B556" s="114"/>
      <c r="C556" s="89"/>
      <c r="D556" s="104"/>
      <c r="N556" s="114"/>
    </row>
    <row r="557">
      <c r="B557" s="114"/>
      <c r="C557" s="89"/>
      <c r="D557" s="104"/>
      <c r="N557" s="114"/>
    </row>
    <row r="558">
      <c r="B558" s="114"/>
      <c r="C558" s="89"/>
      <c r="D558" s="104"/>
      <c r="N558" s="114"/>
    </row>
    <row r="559">
      <c r="B559" s="114"/>
      <c r="C559" s="89"/>
      <c r="D559" s="104"/>
      <c r="N559" s="114"/>
    </row>
    <row r="560">
      <c r="B560" s="114"/>
      <c r="C560" s="89"/>
      <c r="D560" s="104"/>
      <c r="N560" s="114"/>
    </row>
    <row r="561">
      <c r="B561" s="114"/>
      <c r="C561" s="89"/>
      <c r="D561" s="104"/>
      <c r="N561" s="114"/>
    </row>
    <row r="562">
      <c r="B562" s="114"/>
      <c r="C562" s="89"/>
      <c r="D562" s="104"/>
      <c r="N562" s="114"/>
    </row>
    <row r="563">
      <c r="B563" s="114"/>
      <c r="C563" s="89"/>
      <c r="D563" s="104"/>
      <c r="N563" s="114"/>
    </row>
    <row r="564">
      <c r="B564" s="114"/>
      <c r="C564" s="89"/>
      <c r="D564" s="104"/>
      <c r="N564" s="114"/>
    </row>
    <row r="565">
      <c r="B565" s="114"/>
      <c r="C565" s="89"/>
      <c r="D565" s="104"/>
      <c r="N565" s="114"/>
    </row>
    <row r="566">
      <c r="B566" s="114"/>
      <c r="C566" s="89"/>
      <c r="D566" s="104"/>
      <c r="N566" s="114"/>
    </row>
    <row r="567">
      <c r="B567" s="114"/>
      <c r="C567" s="89"/>
      <c r="D567" s="104"/>
      <c r="N567" s="114"/>
    </row>
    <row r="568">
      <c r="B568" s="114"/>
      <c r="C568" s="89"/>
      <c r="D568" s="104"/>
      <c r="N568" s="114"/>
    </row>
    <row r="569">
      <c r="B569" s="114"/>
      <c r="C569" s="89"/>
      <c r="D569" s="104"/>
      <c r="N569" s="114"/>
    </row>
    <row r="570">
      <c r="B570" s="114"/>
      <c r="C570" s="89"/>
      <c r="D570" s="104"/>
      <c r="N570" s="114"/>
    </row>
    <row r="571">
      <c r="B571" s="114"/>
      <c r="C571" s="89"/>
      <c r="D571" s="104"/>
      <c r="N571" s="114"/>
    </row>
    <row r="572">
      <c r="B572" s="114"/>
      <c r="C572" s="89"/>
      <c r="D572" s="104"/>
      <c r="N572" s="114"/>
    </row>
    <row r="573">
      <c r="B573" s="114"/>
      <c r="C573" s="89"/>
      <c r="D573" s="104"/>
      <c r="N573" s="114"/>
    </row>
    <row r="574">
      <c r="B574" s="114"/>
      <c r="C574" s="89"/>
      <c r="D574" s="104"/>
      <c r="N574" s="114"/>
    </row>
    <row r="575">
      <c r="B575" s="114"/>
      <c r="C575" s="89"/>
      <c r="D575" s="104"/>
      <c r="N575" s="114"/>
    </row>
    <row r="576">
      <c r="B576" s="114"/>
      <c r="C576" s="89"/>
      <c r="D576" s="104"/>
      <c r="N576" s="114"/>
    </row>
    <row r="577">
      <c r="B577" s="114"/>
      <c r="C577" s="89"/>
      <c r="D577" s="104"/>
      <c r="N577" s="114"/>
    </row>
    <row r="578">
      <c r="B578" s="114"/>
      <c r="C578" s="89"/>
      <c r="D578" s="104"/>
      <c r="N578" s="114"/>
    </row>
    <row r="579">
      <c r="B579" s="114"/>
      <c r="C579" s="89"/>
      <c r="D579" s="104"/>
      <c r="N579" s="114"/>
    </row>
    <row r="580">
      <c r="B580" s="114"/>
      <c r="C580" s="89"/>
      <c r="D580" s="104"/>
      <c r="N580" s="114"/>
    </row>
    <row r="581">
      <c r="B581" s="114"/>
      <c r="C581" s="89"/>
      <c r="D581" s="104"/>
      <c r="N581" s="114"/>
    </row>
    <row r="582">
      <c r="B582" s="114"/>
      <c r="C582" s="89"/>
      <c r="D582" s="104"/>
      <c r="N582" s="114"/>
    </row>
    <row r="583">
      <c r="B583" s="114"/>
      <c r="C583" s="89"/>
      <c r="D583" s="104"/>
      <c r="N583" s="114"/>
    </row>
    <row r="584">
      <c r="B584" s="114"/>
      <c r="C584" s="89"/>
      <c r="D584" s="104"/>
      <c r="N584" s="114"/>
    </row>
    <row r="585">
      <c r="B585" s="114"/>
      <c r="C585" s="89"/>
      <c r="D585" s="104"/>
      <c r="N585" s="114"/>
    </row>
    <row r="586">
      <c r="B586" s="114"/>
      <c r="C586" s="89"/>
      <c r="D586" s="104"/>
      <c r="N586" s="114"/>
    </row>
    <row r="587">
      <c r="B587" s="114"/>
      <c r="C587" s="89"/>
      <c r="D587" s="104"/>
      <c r="N587" s="114"/>
    </row>
    <row r="588">
      <c r="B588" s="114"/>
      <c r="C588" s="89"/>
      <c r="D588" s="104"/>
      <c r="N588" s="114"/>
    </row>
    <row r="589">
      <c r="B589" s="114"/>
      <c r="C589" s="89"/>
      <c r="D589" s="104"/>
      <c r="N589" s="114"/>
    </row>
    <row r="590">
      <c r="B590" s="114"/>
      <c r="C590" s="89"/>
      <c r="D590" s="104"/>
      <c r="N590" s="114"/>
    </row>
    <row r="591">
      <c r="B591" s="114"/>
      <c r="C591" s="89"/>
      <c r="D591" s="104"/>
      <c r="N591" s="114"/>
    </row>
    <row r="592">
      <c r="B592" s="114"/>
      <c r="C592" s="89"/>
      <c r="D592" s="104"/>
      <c r="N592" s="114"/>
    </row>
    <row r="593">
      <c r="B593" s="114"/>
      <c r="C593" s="89"/>
      <c r="D593" s="104"/>
      <c r="N593" s="114"/>
    </row>
    <row r="594">
      <c r="B594" s="114"/>
      <c r="C594" s="89"/>
      <c r="D594" s="104"/>
      <c r="N594" s="114"/>
    </row>
    <row r="595">
      <c r="B595" s="114"/>
      <c r="C595" s="89"/>
      <c r="D595" s="104"/>
      <c r="N595" s="114"/>
    </row>
    <row r="596">
      <c r="B596" s="114"/>
      <c r="C596" s="89"/>
      <c r="D596" s="104"/>
      <c r="N596" s="114"/>
    </row>
    <row r="597">
      <c r="B597" s="114"/>
      <c r="C597" s="89"/>
      <c r="D597" s="104"/>
      <c r="N597" s="114"/>
    </row>
    <row r="598">
      <c r="B598" s="114"/>
      <c r="C598" s="89"/>
      <c r="D598" s="104"/>
      <c r="N598" s="114"/>
    </row>
    <row r="599">
      <c r="B599" s="114"/>
      <c r="C599" s="89"/>
      <c r="D599" s="104"/>
      <c r="N599" s="114"/>
    </row>
    <row r="600">
      <c r="B600" s="114"/>
      <c r="C600" s="89"/>
      <c r="D600" s="104"/>
      <c r="N600" s="114"/>
    </row>
    <row r="601">
      <c r="B601" s="114"/>
      <c r="C601" s="89"/>
      <c r="D601" s="104"/>
      <c r="N601" s="114"/>
    </row>
    <row r="602">
      <c r="B602" s="114"/>
      <c r="C602" s="89"/>
      <c r="D602" s="104"/>
      <c r="N602" s="114"/>
    </row>
    <row r="603">
      <c r="B603" s="114"/>
      <c r="C603" s="89"/>
      <c r="D603" s="104"/>
      <c r="N603" s="114"/>
    </row>
    <row r="604">
      <c r="B604" s="114"/>
      <c r="C604" s="89"/>
      <c r="D604" s="104"/>
      <c r="N604" s="114"/>
    </row>
    <row r="605">
      <c r="B605" s="114"/>
      <c r="C605" s="89"/>
      <c r="D605" s="104"/>
      <c r="N605" s="114"/>
    </row>
    <row r="606">
      <c r="B606" s="114"/>
      <c r="C606" s="89"/>
      <c r="D606" s="104"/>
      <c r="N606" s="114"/>
    </row>
    <row r="607">
      <c r="B607" s="114"/>
      <c r="C607" s="89"/>
      <c r="D607" s="104"/>
      <c r="N607" s="114"/>
    </row>
    <row r="608">
      <c r="B608" s="114"/>
      <c r="C608" s="89"/>
      <c r="D608" s="104"/>
      <c r="N608" s="114"/>
    </row>
    <row r="609">
      <c r="B609" s="114"/>
      <c r="C609" s="89"/>
      <c r="D609" s="104"/>
      <c r="N609" s="114"/>
    </row>
    <row r="610">
      <c r="B610" s="114"/>
      <c r="C610" s="89"/>
      <c r="D610" s="104"/>
      <c r="N610" s="114"/>
    </row>
    <row r="611">
      <c r="B611" s="114"/>
      <c r="C611" s="89"/>
      <c r="D611" s="104"/>
      <c r="N611" s="114"/>
    </row>
    <row r="612">
      <c r="B612" s="114"/>
      <c r="C612" s="89"/>
      <c r="D612" s="104"/>
      <c r="N612" s="114"/>
    </row>
    <row r="613">
      <c r="B613" s="114"/>
      <c r="C613" s="89"/>
      <c r="D613" s="104"/>
      <c r="N613" s="114"/>
    </row>
    <row r="614">
      <c r="B614" s="114"/>
      <c r="C614" s="89"/>
      <c r="D614" s="104"/>
      <c r="N614" s="114"/>
    </row>
    <row r="615">
      <c r="B615" s="114"/>
      <c r="C615" s="89"/>
      <c r="D615" s="104"/>
      <c r="N615" s="114"/>
    </row>
    <row r="616">
      <c r="B616" s="114"/>
      <c r="C616" s="89"/>
      <c r="D616" s="104"/>
      <c r="N616" s="114"/>
    </row>
    <row r="617">
      <c r="B617" s="114"/>
      <c r="C617" s="89"/>
      <c r="D617" s="104"/>
      <c r="N617" s="114"/>
    </row>
    <row r="618">
      <c r="B618" s="114"/>
      <c r="C618" s="89"/>
      <c r="D618" s="104"/>
      <c r="N618" s="114"/>
    </row>
    <row r="619">
      <c r="B619" s="114"/>
      <c r="C619" s="89"/>
      <c r="D619" s="104"/>
      <c r="N619" s="114"/>
    </row>
    <row r="620">
      <c r="B620" s="114"/>
      <c r="C620" s="89"/>
      <c r="D620" s="104"/>
      <c r="N620" s="114"/>
    </row>
    <row r="621">
      <c r="B621" s="114"/>
      <c r="C621" s="89"/>
      <c r="D621" s="104"/>
      <c r="N621" s="114"/>
    </row>
    <row r="622">
      <c r="B622" s="114"/>
      <c r="C622" s="89"/>
      <c r="D622" s="104"/>
      <c r="N622" s="114"/>
    </row>
    <row r="623">
      <c r="B623" s="114"/>
      <c r="C623" s="89"/>
      <c r="D623" s="104"/>
      <c r="N623" s="114"/>
    </row>
    <row r="624">
      <c r="B624" s="114"/>
      <c r="C624" s="89"/>
      <c r="D624" s="104"/>
      <c r="N624" s="114"/>
    </row>
    <row r="625">
      <c r="B625" s="114"/>
      <c r="C625" s="89"/>
      <c r="D625" s="104"/>
      <c r="N625" s="114"/>
    </row>
    <row r="626">
      <c r="B626" s="114"/>
      <c r="C626" s="89"/>
      <c r="D626" s="104"/>
      <c r="N626" s="114"/>
    </row>
    <row r="627">
      <c r="B627" s="114"/>
      <c r="C627" s="89"/>
      <c r="D627" s="104"/>
      <c r="N627" s="114"/>
    </row>
    <row r="628">
      <c r="B628" s="114"/>
      <c r="C628" s="89"/>
      <c r="D628" s="104"/>
      <c r="N628" s="114"/>
    </row>
    <row r="629">
      <c r="B629" s="114"/>
      <c r="C629" s="89"/>
      <c r="D629" s="104"/>
      <c r="N629" s="114"/>
    </row>
    <row r="630">
      <c r="B630" s="114"/>
      <c r="C630" s="89"/>
      <c r="D630" s="104"/>
      <c r="N630" s="114"/>
    </row>
    <row r="631">
      <c r="B631" s="114"/>
      <c r="C631" s="89"/>
      <c r="D631" s="104"/>
      <c r="N631" s="114"/>
    </row>
    <row r="632">
      <c r="B632" s="114"/>
      <c r="C632" s="89"/>
      <c r="D632" s="104"/>
      <c r="N632" s="114"/>
    </row>
    <row r="633">
      <c r="B633" s="114"/>
      <c r="C633" s="89"/>
      <c r="D633" s="104"/>
      <c r="N633" s="114"/>
    </row>
    <row r="634">
      <c r="B634" s="114"/>
      <c r="C634" s="89"/>
      <c r="D634" s="104"/>
      <c r="N634" s="114"/>
    </row>
    <row r="635">
      <c r="B635" s="114"/>
      <c r="C635" s="89"/>
      <c r="D635" s="104"/>
      <c r="N635" s="114"/>
    </row>
    <row r="636">
      <c r="B636" s="114"/>
      <c r="C636" s="89"/>
      <c r="D636" s="104"/>
      <c r="N636" s="114"/>
    </row>
    <row r="637">
      <c r="B637" s="114"/>
      <c r="C637" s="89"/>
      <c r="D637" s="104"/>
      <c r="N637" s="114"/>
    </row>
    <row r="638">
      <c r="B638" s="114"/>
      <c r="C638" s="89"/>
      <c r="D638" s="104"/>
      <c r="N638" s="114"/>
    </row>
    <row r="639">
      <c r="B639" s="114"/>
      <c r="C639" s="89"/>
      <c r="D639" s="104"/>
      <c r="N639" s="114"/>
    </row>
    <row r="640">
      <c r="B640" s="114"/>
      <c r="C640" s="89"/>
      <c r="D640" s="104"/>
      <c r="N640" s="114"/>
    </row>
    <row r="641">
      <c r="B641" s="114"/>
      <c r="C641" s="89"/>
      <c r="D641" s="104"/>
      <c r="N641" s="114"/>
    </row>
    <row r="642">
      <c r="B642" s="114"/>
      <c r="C642" s="89"/>
      <c r="D642" s="104"/>
      <c r="N642" s="114"/>
    </row>
    <row r="643">
      <c r="B643" s="114"/>
      <c r="C643" s="89"/>
      <c r="D643" s="104"/>
      <c r="N643" s="114"/>
    </row>
    <row r="644">
      <c r="B644" s="114"/>
      <c r="C644" s="89"/>
      <c r="D644" s="104"/>
      <c r="N644" s="114"/>
    </row>
    <row r="645">
      <c r="B645" s="114"/>
      <c r="C645" s="89"/>
      <c r="D645" s="104"/>
      <c r="N645" s="114"/>
    </row>
    <row r="646">
      <c r="B646" s="114"/>
      <c r="C646" s="89"/>
      <c r="D646" s="104"/>
      <c r="N646" s="114"/>
    </row>
    <row r="647">
      <c r="B647" s="114"/>
      <c r="C647" s="89"/>
      <c r="D647" s="104"/>
      <c r="N647" s="114"/>
    </row>
    <row r="648">
      <c r="B648" s="114"/>
      <c r="C648" s="89"/>
      <c r="D648" s="104"/>
      <c r="N648" s="114"/>
    </row>
    <row r="649">
      <c r="B649" s="114"/>
      <c r="C649" s="89"/>
      <c r="D649" s="104"/>
      <c r="N649" s="114"/>
    </row>
    <row r="650">
      <c r="B650" s="114"/>
      <c r="C650" s="89"/>
      <c r="D650" s="104"/>
      <c r="N650" s="114"/>
    </row>
    <row r="651">
      <c r="B651" s="114"/>
      <c r="C651" s="89"/>
      <c r="D651" s="104"/>
      <c r="N651" s="114"/>
    </row>
    <row r="652">
      <c r="B652" s="114"/>
      <c r="C652" s="89"/>
      <c r="D652" s="104"/>
      <c r="N652" s="114"/>
    </row>
    <row r="653">
      <c r="B653" s="114"/>
      <c r="C653" s="89"/>
      <c r="D653" s="104"/>
      <c r="N653" s="114"/>
    </row>
    <row r="654">
      <c r="B654" s="114"/>
      <c r="C654" s="89"/>
      <c r="D654" s="104"/>
      <c r="N654" s="114"/>
    </row>
    <row r="655">
      <c r="B655" s="114"/>
      <c r="C655" s="89"/>
      <c r="D655" s="104"/>
      <c r="N655" s="114"/>
    </row>
    <row r="656">
      <c r="B656" s="114"/>
      <c r="C656" s="89"/>
      <c r="D656" s="104"/>
      <c r="N656" s="114"/>
    </row>
    <row r="657">
      <c r="B657" s="114"/>
      <c r="C657" s="89"/>
      <c r="D657" s="104"/>
      <c r="N657" s="114"/>
    </row>
    <row r="658">
      <c r="B658" s="114"/>
      <c r="C658" s="89"/>
      <c r="D658" s="104"/>
      <c r="N658" s="114"/>
    </row>
    <row r="659">
      <c r="B659" s="114"/>
      <c r="C659" s="89"/>
      <c r="D659" s="104"/>
      <c r="N659" s="114"/>
    </row>
    <row r="660">
      <c r="B660" s="114"/>
      <c r="C660" s="89"/>
      <c r="D660" s="104"/>
      <c r="N660" s="114"/>
    </row>
    <row r="661">
      <c r="B661" s="114"/>
      <c r="C661" s="89"/>
      <c r="D661" s="104"/>
      <c r="N661" s="114"/>
    </row>
    <row r="662">
      <c r="B662" s="114"/>
      <c r="C662" s="89"/>
      <c r="D662" s="104"/>
      <c r="N662" s="114"/>
    </row>
    <row r="663">
      <c r="B663" s="114"/>
      <c r="C663" s="89"/>
      <c r="D663" s="104"/>
      <c r="N663" s="114"/>
    </row>
    <row r="664">
      <c r="B664" s="114"/>
      <c r="C664" s="89"/>
      <c r="D664" s="104"/>
      <c r="N664" s="114"/>
    </row>
    <row r="665">
      <c r="B665" s="114"/>
      <c r="C665" s="89"/>
      <c r="D665" s="104"/>
      <c r="N665" s="114"/>
    </row>
    <row r="666">
      <c r="B666" s="114"/>
      <c r="C666" s="89"/>
      <c r="D666" s="104"/>
      <c r="N666" s="114"/>
    </row>
    <row r="667">
      <c r="B667" s="114"/>
      <c r="C667" s="89"/>
      <c r="D667" s="104"/>
      <c r="N667" s="114"/>
    </row>
    <row r="668">
      <c r="B668" s="114"/>
      <c r="C668" s="89"/>
      <c r="D668" s="104"/>
      <c r="N668" s="114"/>
    </row>
    <row r="669">
      <c r="B669" s="114"/>
      <c r="C669" s="89"/>
      <c r="D669" s="104"/>
      <c r="N669" s="114"/>
    </row>
    <row r="670">
      <c r="B670" s="114"/>
      <c r="C670" s="89"/>
      <c r="D670" s="104"/>
      <c r="N670" s="114"/>
    </row>
    <row r="671">
      <c r="B671" s="114"/>
      <c r="C671" s="89"/>
      <c r="D671" s="104"/>
      <c r="N671" s="114"/>
    </row>
    <row r="672">
      <c r="B672" s="114"/>
      <c r="C672" s="89"/>
      <c r="D672" s="104"/>
      <c r="N672" s="114"/>
    </row>
    <row r="673">
      <c r="B673" s="114"/>
      <c r="C673" s="89"/>
      <c r="D673" s="104"/>
      <c r="N673" s="114"/>
    </row>
    <row r="674">
      <c r="B674" s="114"/>
      <c r="C674" s="89"/>
      <c r="D674" s="104"/>
      <c r="N674" s="114"/>
    </row>
    <row r="675">
      <c r="B675" s="114"/>
      <c r="C675" s="89"/>
      <c r="D675" s="104"/>
      <c r="N675" s="114"/>
    </row>
    <row r="676">
      <c r="B676" s="114"/>
      <c r="C676" s="89"/>
      <c r="D676" s="104"/>
      <c r="N676" s="114"/>
    </row>
    <row r="677">
      <c r="B677" s="114"/>
      <c r="C677" s="89"/>
      <c r="D677" s="104"/>
      <c r="N677" s="114"/>
    </row>
    <row r="678">
      <c r="B678" s="114"/>
      <c r="C678" s="89"/>
      <c r="D678" s="104"/>
      <c r="N678" s="114"/>
    </row>
    <row r="679">
      <c r="B679" s="114"/>
      <c r="C679" s="89"/>
      <c r="D679" s="104"/>
      <c r="N679" s="114"/>
    </row>
    <row r="680">
      <c r="B680" s="114"/>
      <c r="C680" s="89"/>
      <c r="D680" s="104"/>
      <c r="N680" s="114"/>
    </row>
    <row r="681">
      <c r="B681" s="114"/>
      <c r="C681" s="89"/>
      <c r="D681" s="104"/>
      <c r="N681" s="114"/>
    </row>
    <row r="682">
      <c r="B682" s="114"/>
      <c r="C682" s="89"/>
      <c r="D682" s="104"/>
      <c r="N682" s="114"/>
    </row>
    <row r="683">
      <c r="B683" s="114"/>
      <c r="C683" s="89"/>
      <c r="D683" s="104"/>
      <c r="N683" s="114"/>
    </row>
    <row r="684">
      <c r="B684" s="114"/>
      <c r="C684" s="89"/>
      <c r="D684" s="104"/>
      <c r="N684" s="114"/>
    </row>
    <row r="685">
      <c r="B685" s="114"/>
      <c r="C685" s="89"/>
      <c r="D685" s="104"/>
      <c r="N685" s="114"/>
    </row>
    <row r="686">
      <c r="B686" s="114"/>
      <c r="C686" s="89"/>
      <c r="D686" s="104"/>
      <c r="N686" s="114"/>
    </row>
    <row r="687">
      <c r="B687" s="114"/>
      <c r="C687" s="89"/>
      <c r="D687" s="104"/>
      <c r="N687" s="114"/>
    </row>
    <row r="688">
      <c r="B688" s="114"/>
      <c r="C688" s="89"/>
      <c r="D688" s="104"/>
      <c r="N688" s="114"/>
    </row>
    <row r="689">
      <c r="B689" s="114"/>
      <c r="C689" s="89"/>
      <c r="D689" s="104"/>
      <c r="N689" s="114"/>
    </row>
    <row r="690">
      <c r="B690" s="114"/>
      <c r="C690" s="89"/>
      <c r="D690" s="104"/>
      <c r="N690" s="114"/>
    </row>
    <row r="691">
      <c r="B691" s="114"/>
      <c r="C691" s="89"/>
      <c r="D691" s="104"/>
      <c r="N691" s="114"/>
    </row>
    <row r="692">
      <c r="B692" s="114"/>
      <c r="C692" s="89"/>
      <c r="D692" s="104"/>
      <c r="N692" s="114"/>
    </row>
    <row r="693">
      <c r="B693" s="114"/>
      <c r="C693" s="89"/>
      <c r="D693" s="104"/>
      <c r="N693" s="114"/>
    </row>
    <row r="694">
      <c r="B694" s="114"/>
      <c r="C694" s="89"/>
      <c r="D694" s="104"/>
      <c r="N694" s="114"/>
    </row>
    <row r="695">
      <c r="B695" s="114"/>
      <c r="C695" s="89"/>
      <c r="D695" s="104"/>
      <c r="N695" s="114"/>
    </row>
    <row r="696">
      <c r="B696" s="114"/>
      <c r="C696" s="89"/>
      <c r="D696" s="104"/>
      <c r="N696" s="114"/>
    </row>
    <row r="697">
      <c r="B697" s="114"/>
      <c r="C697" s="89"/>
      <c r="D697" s="104"/>
      <c r="N697" s="114"/>
    </row>
    <row r="698">
      <c r="B698" s="114"/>
      <c r="C698" s="89"/>
      <c r="D698" s="104"/>
      <c r="N698" s="114"/>
    </row>
    <row r="699">
      <c r="B699" s="114"/>
      <c r="C699" s="89"/>
      <c r="D699" s="104"/>
      <c r="N699" s="114"/>
    </row>
    <row r="700">
      <c r="B700" s="114"/>
      <c r="C700" s="89"/>
      <c r="D700" s="104"/>
      <c r="N700" s="114"/>
    </row>
    <row r="701">
      <c r="B701" s="114"/>
      <c r="C701" s="89"/>
      <c r="D701" s="104"/>
      <c r="N701" s="114"/>
    </row>
    <row r="702">
      <c r="B702" s="114"/>
      <c r="C702" s="89"/>
      <c r="D702" s="104"/>
      <c r="N702" s="114"/>
    </row>
    <row r="703">
      <c r="B703" s="114"/>
      <c r="C703" s="89"/>
      <c r="D703" s="104"/>
      <c r="N703" s="114"/>
    </row>
    <row r="704">
      <c r="B704" s="114"/>
      <c r="C704" s="89"/>
      <c r="D704" s="104"/>
      <c r="N704" s="114"/>
    </row>
    <row r="705">
      <c r="B705" s="114"/>
      <c r="C705" s="89"/>
      <c r="D705" s="104"/>
      <c r="N705" s="114"/>
    </row>
    <row r="706">
      <c r="B706" s="114"/>
      <c r="C706" s="89"/>
      <c r="D706" s="104"/>
      <c r="N706" s="114"/>
    </row>
    <row r="707">
      <c r="B707" s="114"/>
      <c r="C707" s="89"/>
      <c r="D707" s="104"/>
      <c r="N707" s="114"/>
    </row>
    <row r="708">
      <c r="B708" s="114"/>
      <c r="C708" s="89"/>
      <c r="D708" s="104"/>
      <c r="N708" s="114"/>
    </row>
    <row r="709">
      <c r="B709" s="114"/>
      <c r="C709" s="89"/>
      <c r="D709" s="104"/>
      <c r="N709" s="114"/>
    </row>
    <row r="710">
      <c r="B710" s="114"/>
      <c r="C710" s="89"/>
      <c r="D710" s="104"/>
      <c r="N710" s="114"/>
    </row>
    <row r="711">
      <c r="B711" s="114"/>
      <c r="C711" s="89"/>
      <c r="D711" s="104"/>
      <c r="N711" s="114"/>
    </row>
    <row r="712">
      <c r="B712" s="114"/>
      <c r="C712" s="89"/>
      <c r="D712" s="104"/>
      <c r="N712" s="114"/>
    </row>
    <row r="713">
      <c r="B713" s="114"/>
      <c r="C713" s="89"/>
      <c r="D713" s="104"/>
      <c r="N713" s="114"/>
    </row>
    <row r="714">
      <c r="B714" s="114"/>
      <c r="C714" s="89"/>
      <c r="D714" s="104"/>
      <c r="N714" s="114"/>
    </row>
    <row r="715">
      <c r="B715" s="114"/>
      <c r="C715" s="89"/>
      <c r="D715" s="104"/>
      <c r="N715" s="114"/>
    </row>
    <row r="716">
      <c r="B716" s="114"/>
      <c r="C716" s="89"/>
      <c r="D716" s="104"/>
      <c r="N716" s="114"/>
    </row>
    <row r="717">
      <c r="B717" s="114"/>
      <c r="C717" s="89"/>
      <c r="D717" s="104"/>
      <c r="N717" s="114"/>
    </row>
    <row r="718">
      <c r="B718" s="114"/>
      <c r="C718" s="89"/>
      <c r="D718" s="104"/>
      <c r="N718" s="114"/>
    </row>
    <row r="719">
      <c r="B719" s="114"/>
      <c r="C719" s="89"/>
      <c r="D719" s="104"/>
      <c r="N719" s="114"/>
    </row>
    <row r="720">
      <c r="B720" s="114"/>
      <c r="C720" s="89"/>
      <c r="D720" s="104"/>
      <c r="N720" s="114"/>
    </row>
    <row r="721">
      <c r="B721" s="114"/>
      <c r="C721" s="89"/>
      <c r="D721" s="104"/>
      <c r="N721" s="114"/>
    </row>
    <row r="722">
      <c r="B722" s="114"/>
      <c r="C722" s="89"/>
      <c r="D722" s="104"/>
      <c r="N722" s="114"/>
    </row>
    <row r="723">
      <c r="B723" s="114"/>
      <c r="C723" s="89"/>
      <c r="D723" s="104"/>
      <c r="N723" s="114"/>
    </row>
    <row r="724">
      <c r="B724" s="114"/>
      <c r="C724" s="89"/>
      <c r="D724" s="104"/>
      <c r="N724" s="114"/>
    </row>
    <row r="725">
      <c r="B725" s="114"/>
      <c r="C725" s="89"/>
      <c r="D725" s="104"/>
      <c r="N725" s="114"/>
    </row>
    <row r="726">
      <c r="B726" s="114"/>
      <c r="C726" s="89"/>
      <c r="D726" s="104"/>
      <c r="N726" s="114"/>
    </row>
    <row r="727">
      <c r="B727" s="114"/>
      <c r="C727" s="89"/>
      <c r="D727" s="104"/>
      <c r="N727" s="114"/>
    </row>
    <row r="728">
      <c r="B728" s="114"/>
      <c r="C728" s="89"/>
      <c r="D728" s="104"/>
      <c r="N728" s="114"/>
    </row>
    <row r="729">
      <c r="B729" s="114"/>
      <c r="C729" s="89"/>
      <c r="D729" s="104"/>
      <c r="N729" s="114"/>
    </row>
    <row r="730">
      <c r="B730" s="114"/>
      <c r="C730" s="89"/>
      <c r="D730" s="104"/>
      <c r="N730" s="114"/>
    </row>
    <row r="731">
      <c r="B731" s="114"/>
      <c r="C731" s="89"/>
      <c r="D731" s="104"/>
      <c r="N731" s="114"/>
    </row>
    <row r="732">
      <c r="B732" s="114"/>
      <c r="C732" s="89"/>
      <c r="D732" s="104"/>
      <c r="N732" s="114"/>
    </row>
    <row r="733">
      <c r="B733" s="114"/>
      <c r="C733" s="89"/>
      <c r="D733" s="104"/>
      <c r="N733" s="114"/>
    </row>
    <row r="734">
      <c r="B734" s="114"/>
      <c r="C734" s="89"/>
      <c r="D734" s="104"/>
      <c r="N734" s="114"/>
    </row>
    <row r="735">
      <c r="B735" s="114"/>
      <c r="C735" s="89"/>
      <c r="D735" s="104"/>
      <c r="N735" s="114"/>
    </row>
    <row r="736">
      <c r="B736" s="114"/>
      <c r="C736" s="89"/>
      <c r="D736" s="104"/>
      <c r="N736" s="114"/>
    </row>
    <row r="737">
      <c r="B737" s="114"/>
      <c r="C737" s="89"/>
      <c r="D737" s="104"/>
      <c r="N737" s="114"/>
    </row>
    <row r="738">
      <c r="B738" s="114"/>
      <c r="C738" s="89"/>
      <c r="D738" s="104"/>
      <c r="N738" s="114"/>
    </row>
    <row r="739">
      <c r="B739" s="114"/>
      <c r="C739" s="89"/>
      <c r="D739" s="104"/>
      <c r="N739" s="114"/>
    </row>
    <row r="740">
      <c r="B740" s="114"/>
      <c r="C740" s="89"/>
      <c r="D740" s="104"/>
      <c r="N740" s="114"/>
    </row>
    <row r="741">
      <c r="B741" s="114"/>
      <c r="C741" s="89"/>
      <c r="D741" s="104"/>
      <c r="N741" s="114"/>
    </row>
    <row r="742">
      <c r="B742" s="114"/>
      <c r="C742" s="89"/>
      <c r="D742" s="104"/>
      <c r="N742" s="114"/>
    </row>
    <row r="743">
      <c r="B743" s="114"/>
      <c r="C743" s="89"/>
      <c r="D743" s="104"/>
      <c r="N743" s="114"/>
    </row>
    <row r="744">
      <c r="B744" s="114"/>
      <c r="C744" s="89"/>
      <c r="D744" s="104"/>
      <c r="N744" s="114"/>
    </row>
    <row r="745">
      <c r="B745" s="114"/>
      <c r="C745" s="89"/>
      <c r="D745" s="104"/>
      <c r="N745" s="114"/>
    </row>
    <row r="746">
      <c r="B746" s="114"/>
      <c r="C746" s="89"/>
      <c r="D746" s="104"/>
      <c r="N746" s="114"/>
    </row>
    <row r="747">
      <c r="B747" s="114"/>
      <c r="C747" s="89"/>
      <c r="D747" s="104"/>
      <c r="N747" s="114"/>
    </row>
    <row r="748">
      <c r="B748" s="114"/>
      <c r="C748" s="89"/>
      <c r="D748" s="104"/>
      <c r="N748" s="114"/>
    </row>
    <row r="749">
      <c r="B749" s="114"/>
      <c r="C749" s="89"/>
      <c r="D749" s="104"/>
      <c r="N749" s="114"/>
    </row>
    <row r="750">
      <c r="B750" s="114"/>
      <c r="C750" s="89"/>
      <c r="D750" s="104"/>
      <c r="N750" s="114"/>
    </row>
    <row r="751">
      <c r="B751" s="114"/>
      <c r="C751" s="89"/>
      <c r="D751" s="104"/>
      <c r="N751" s="114"/>
    </row>
    <row r="752">
      <c r="B752" s="114"/>
      <c r="C752" s="89"/>
      <c r="D752" s="104"/>
      <c r="N752" s="114"/>
    </row>
    <row r="753">
      <c r="B753" s="114"/>
      <c r="C753" s="89"/>
      <c r="D753" s="104"/>
      <c r="N753" s="114"/>
    </row>
    <row r="754">
      <c r="B754" s="114"/>
      <c r="C754" s="89"/>
      <c r="D754" s="104"/>
      <c r="N754" s="114"/>
    </row>
    <row r="755">
      <c r="B755" s="114"/>
      <c r="C755" s="89"/>
      <c r="D755" s="104"/>
      <c r="N755" s="114"/>
    </row>
    <row r="756">
      <c r="B756" s="114"/>
      <c r="C756" s="89"/>
      <c r="D756" s="104"/>
      <c r="N756" s="114"/>
    </row>
    <row r="757">
      <c r="B757" s="114"/>
      <c r="C757" s="89"/>
      <c r="D757" s="104"/>
      <c r="N757" s="114"/>
    </row>
    <row r="758">
      <c r="B758" s="114"/>
      <c r="C758" s="89"/>
      <c r="D758" s="104"/>
      <c r="N758" s="114"/>
    </row>
    <row r="759">
      <c r="B759" s="114"/>
      <c r="C759" s="89"/>
      <c r="D759" s="104"/>
      <c r="N759" s="114"/>
    </row>
    <row r="760">
      <c r="B760" s="114"/>
      <c r="C760" s="89"/>
      <c r="D760" s="104"/>
      <c r="N760" s="114"/>
    </row>
    <row r="761">
      <c r="B761" s="114"/>
      <c r="C761" s="89"/>
      <c r="D761" s="104"/>
      <c r="N761" s="114"/>
    </row>
    <row r="762">
      <c r="B762" s="114"/>
      <c r="C762" s="89"/>
      <c r="D762" s="104"/>
      <c r="N762" s="114"/>
    </row>
    <row r="763">
      <c r="B763" s="114"/>
      <c r="C763" s="89"/>
      <c r="D763" s="104"/>
      <c r="N763" s="114"/>
    </row>
    <row r="764">
      <c r="B764" s="114"/>
      <c r="C764" s="89"/>
      <c r="D764" s="104"/>
      <c r="N764" s="114"/>
    </row>
    <row r="765">
      <c r="B765" s="114"/>
      <c r="C765" s="89"/>
      <c r="D765" s="104"/>
      <c r="N765" s="114"/>
    </row>
    <row r="766">
      <c r="B766" s="114"/>
      <c r="C766" s="89"/>
      <c r="D766" s="104"/>
      <c r="N766" s="114"/>
    </row>
    <row r="767">
      <c r="B767" s="114"/>
      <c r="C767" s="89"/>
      <c r="D767" s="104"/>
      <c r="N767" s="114"/>
    </row>
    <row r="768">
      <c r="B768" s="114"/>
      <c r="C768" s="89"/>
      <c r="D768" s="104"/>
      <c r="N768" s="114"/>
    </row>
    <row r="769">
      <c r="B769" s="114"/>
      <c r="C769" s="89"/>
      <c r="D769" s="104"/>
      <c r="N769" s="114"/>
    </row>
    <row r="770">
      <c r="B770" s="114"/>
      <c r="C770" s="89"/>
      <c r="D770" s="104"/>
      <c r="N770" s="114"/>
    </row>
    <row r="771">
      <c r="B771" s="114"/>
      <c r="C771" s="89"/>
      <c r="D771" s="104"/>
      <c r="N771" s="114"/>
    </row>
    <row r="772">
      <c r="B772" s="114"/>
      <c r="C772" s="89"/>
      <c r="D772" s="104"/>
      <c r="N772" s="114"/>
    </row>
    <row r="773">
      <c r="B773" s="114"/>
      <c r="C773" s="89"/>
      <c r="D773" s="104"/>
      <c r="N773" s="114"/>
    </row>
    <row r="774">
      <c r="B774" s="114"/>
      <c r="C774" s="89"/>
      <c r="D774" s="104"/>
      <c r="N774" s="114"/>
    </row>
    <row r="775">
      <c r="B775" s="114"/>
      <c r="C775" s="89"/>
      <c r="D775" s="104"/>
      <c r="N775" s="114"/>
    </row>
    <row r="776">
      <c r="B776" s="114"/>
      <c r="C776" s="89"/>
      <c r="D776" s="104"/>
      <c r="N776" s="114"/>
    </row>
    <row r="777">
      <c r="B777" s="114"/>
      <c r="C777" s="89"/>
      <c r="D777" s="104"/>
      <c r="N777" s="114"/>
    </row>
    <row r="778">
      <c r="B778" s="114"/>
      <c r="C778" s="89"/>
      <c r="D778" s="104"/>
      <c r="N778" s="114"/>
    </row>
    <row r="779">
      <c r="B779" s="114"/>
      <c r="C779" s="89"/>
      <c r="D779" s="104"/>
      <c r="N779" s="114"/>
    </row>
    <row r="780">
      <c r="B780" s="114"/>
      <c r="C780" s="89"/>
      <c r="D780" s="104"/>
      <c r="N780" s="114"/>
    </row>
    <row r="781">
      <c r="B781" s="114"/>
      <c r="C781" s="89"/>
      <c r="D781" s="104"/>
      <c r="N781" s="114"/>
    </row>
    <row r="782">
      <c r="B782" s="114"/>
      <c r="C782" s="89"/>
      <c r="D782" s="104"/>
      <c r="N782" s="114"/>
    </row>
    <row r="783">
      <c r="B783" s="114"/>
      <c r="C783" s="89"/>
      <c r="D783" s="104"/>
      <c r="N783" s="114"/>
    </row>
    <row r="784">
      <c r="B784" s="114"/>
      <c r="C784" s="89"/>
      <c r="D784" s="104"/>
      <c r="N784" s="114"/>
    </row>
    <row r="785">
      <c r="B785" s="114"/>
      <c r="C785" s="89"/>
      <c r="D785" s="104"/>
      <c r="N785" s="114"/>
    </row>
    <row r="786">
      <c r="B786" s="114"/>
      <c r="C786" s="89"/>
      <c r="D786" s="104"/>
      <c r="N786" s="114"/>
    </row>
    <row r="787">
      <c r="B787" s="114"/>
      <c r="C787" s="89"/>
      <c r="D787" s="104"/>
      <c r="N787" s="114"/>
    </row>
    <row r="788">
      <c r="B788" s="114"/>
      <c r="C788" s="89"/>
      <c r="D788" s="104"/>
      <c r="N788" s="114"/>
    </row>
    <row r="789">
      <c r="B789" s="114"/>
      <c r="C789" s="89"/>
      <c r="D789" s="104"/>
      <c r="N789" s="114"/>
    </row>
    <row r="790">
      <c r="B790" s="114"/>
      <c r="C790" s="89"/>
      <c r="D790" s="104"/>
      <c r="N790" s="114"/>
    </row>
    <row r="791">
      <c r="B791" s="114"/>
      <c r="C791" s="89"/>
      <c r="D791" s="104"/>
      <c r="N791" s="114"/>
    </row>
    <row r="792">
      <c r="B792" s="114"/>
      <c r="C792" s="89"/>
      <c r="D792" s="104"/>
      <c r="N792" s="114"/>
    </row>
    <row r="793">
      <c r="B793" s="114"/>
      <c r="C793" s="89"/>
      <c r="D793" s="104"/>
      <c r="N793" s="114"/>
    </row>
    <row r="794">
      <c r="B794" s="114"/>
      <c r="C794" s="89"/>
      <c r="D794" s="104"/>
      <c r="N794" s="114"/>
    </row>
    <row r="795">
      <c r="B795" s="114"/>
      <c r="C795" s="89"/>
      <c r="D795" s="104"/>
      <c r="N795" s="114"/>
    </row>
    <row r="796">
      <c r="B796" s="114"/>
      <c r="C796" s="89"/>
      <c r="D796" s="104"/>
      <c r="N796" s="114"/>
    </row>
    <row r="797">
      <c r="B797" s="114"/>
      <c r="C797" s="89"/>
      <c r="D797" s="104"/>
      <c r="N797" s="114"/>
    </row>
    <row r="798">
      <c r="B798" s="114"/>
      <c r="C798" s="89"/>
      <c r="D798" s="104"/>
      <c r="N798" s="114"/>
    </row>
    <row r="799">
      <c r="B799" s="114"/>
      <c r="C799" s="89"/>
      <c r="D799" s="104"/>
      <c r="N799" s="114"/>
    </row>
    <row r="800">
      <c r="B800" s="114"/>
      <c r="C800" s="89"/>
      <c r="D800" s="104"/>
      <c r="N800" s="114"/>
    </row>
    <row r="801">
      <c r="B801" s="114"/>
      <c r="C801" s="89"/>
      <c r="D801" s="104"/>
      <c r="N801" s="114"/>
    </row>
    <row r="802">
      <c r="B802" s="114"/>
      <c r="C802" s="89"/>
      <c r="D802" s="104"/>
      <c r="N802" s="114"/>
    </row>
    <row r="803">
      <c r="B803" s="114"/>
      <c r="C803" s="89"/>
      <c r="D803" s="104"/>
      <c r="N803" s="114"/>
    </row>
    <row r="804">
      <c r="B804" s="114"/>
      <c r="C804" s="89"/>
      <c r="D804" s="104"/>
      <c r="N804" s="114"/>
    </row>
    <row r="805">
      <c r="B805" s="114"/>
      <c r="C805" s="89"/>
      <c r="D805" s="104"/>
      <c r="N805" s="114"/>
    </row>
    <row r="806">
      <c r="B806" s="114"/>
      <c r="C806" s="89"/>
      <c r="D806" s="104"/>
      <c r="N806" s="114"/>
    </row>
    <row r="807">
      <c r="B807" s="114"/>
      <c r="C807" s="89"/>
      <c r="D807" s="104"/>
      <c r="N807" s="114"/>
    </row>
    <row r="808">
      <c r="B808" s="114"/>
      <c r="C808" s="89"/>
      <c r="D808" s="104"/>
      <c r="N808" s="114"/>
    </row>
    <row r="809">
      <c r="B809" s="114"/>
      <c r="C809" s="89"/>
      <c r="D809" s="104"/>
      <c r="N809" s="114"/>
    </row>
    <row r="810">
      <c r="B810" s="114"/>
      <c r="C810" s="89"/>
      <c r="D810" s="104"/>
      <c r="N810" s="114"/>
    </row>
    <row r="811">
      <c r="B811" s="114"/>
      <c r="C811" s="89"/>
      <c r="D811" s="104"/>
      <c r="N811" s="114"/>
    </row>
    <row r="812">
      <c r="B812" s="114"/>
      <c r="C812" s="89"/>
      <c r="D812" s="104"/>
      <c r="N812" s="114"/>
    </row>
    <row r="813">
      <c r="B813" s="114"/>
      <c r="C813" s="89"/>
      <c r="D813" s="104"/>
      <c r="N813" s="114"/>
    </row>
    <row r="814">
      <c r="B814" s="114"/>
      <c r="C814" s="89"/>
      <c r="D814" s="104"/>
      <c r="N814" s="114"/>
    </row>
    <row r="815">
      <c r="B815" s="114"/>
      <c r="C815" s="89"/>
      <c r="D815" s="104"/>
      <c r="N815" s="114"/>
    </row>
    <row r="816">
      <c r="B816" s="114"/>
      <c r="C816" s="89"/>
      <c r="D816" s="104"/>
      <c r="N816" s="114"/>
    </row>
    <row r="817">
      <c r="B817" s="114"/>
      <c r="C817" s="89"/>
      <c r="D817" s="104"/>
      <c r="N817" s="114"/>
    </row>
    <row r="818">
      <c r="B818" s="114"/>
      <c r="C818" s="89"/>
      <c r="D818" s="104"/>
      <c r="N818" s="114"/>
    </row>
    <row r="819">
      <c r="B819" s="114"/>
      <c r="C819" s="89"/>
      <c r="D819" s="104"/>
      <c r="N819" s="114"/>
    </row>
    <row r="820">
      <c r="B820" s="114"/>
      <c r="C820" s="89"/>
      <c r="D820" s="104"/>
      <c r="N820" s="114"/>
    </row>
    <row r="821">
      <c r="B821" s="114"/>
      <c r="C821" s="89"/>
      <c r="D821" s="104"/>
      <c r="N821" s="114"/>
    </row>
    <row r="822">
      <c r="B822" s="114"/>
      <c r="C822" s="89"/>
      <c r="D822" s="104"/>
      <c r="N822" s="114"/>
    </row>
    <row r="823">
      <c r="B823" s="114"/>
      <c r="C823" s="89"/>
      <c r="D823" s="104"/>
      <c r="N823" s="114"/>
    </row>
    <row r="824">
      <c r="B824" s="114"/>
      <c r="C824" s="89"/>
      <c r="D824" s="104"/>
      <c r="N824" s="114"/>
    </row>
    <row r="825">
      <c r="B825" s="114"/>
      <c r="C825" s="89"/>
      <c r="D825" s="104"/>
      <c r="N825" s="114"/>
    </row>
    <row r="826">
      <c r="B826" s="114"/>
      <c r="C826" s="89"/>
      <c r="D826" s="104"/>
      <c r="N826" s="114"/>
    </row>
    <row r="827">
      <c r="B827" s="114"/>
      <c r="C827" s="89"/>
      <c r="D827" s="104"/>
      <c r="N827" s="114"/>
    </row>
    <row r="828">
      <c r="B828" s="114"/>
      <c r="C828" s="89"/>
      <c r="D828" s="104"/>
      <c r="N828" s="114"/>
    </row>
    <row r="829">
      <c r="B829" s="114"/>
      <c r="C829" s="89"/>
      <c r="D829" s="104"/>
      <c r="N829" s="114"/>
    </row>
    <row r="830">
      <c r="B830" s="114"/>
      <c r="C830" s="89"/>
      <c r="D830" s="104"/>
      <c r="N830" s="114"/>
    </row>
    <row r="831">
      <c r="B831" s="114"/>
      <c r="C831" s="89"/>
      <c r="D831" s="104"/>
      <c r="N831" s="114"/>
    </row>
    <row r="832">
      <c r="B832" s="114"/>
      <c r="C832" s="89"/>
      <c r="D832" s="104"/>
      <c r="N832" s="114"/>
    </row>
    <row r="833">
      <c r="B833" s="114"/>
      <c r="C833" s="89"/>
      <c r="D833" s="104"/>
      <c r="N833" s="114"/>
    </row>
    <row r="834">
      <c r="B834" s="114"/>
      <c r="C834" s="89"/>
      <c r="D834" s="104"/>
      <c r="N834" s="114"/>
    </row>
    <row r="835">
      <c r="B835" s="114"/>
      <c r="C835" s="89"/>
      <c r="D835" s="104"/>
      <c r="N835" s="114"/>
    </row>
    <row r="836">
      <c r="B836" s="114"/>
      <c r="C836" s="89"/>
      <c r="D836" s="104"/>
      <c r="N836" s="114"/>
    </row>
    <row r="837">
      <c r="B837" s="114"/>
      <c r="C837" s="89"/>
      <c r="D837" s="104"/>
      <c r="N837" s="114"/>
    </row>
    <row r="838">
      <c r="B838" s="114"/>
      <c r="C838" s="89"/>
      <c r="D838" s="104"/>
      <c r="N838" s="114"/>
    </row>
    <row r="839">
      <c r="B839" s="114"/>
      <c r="C839" s="89"/>
      <c r="D839" s="104"/>
      <c r="N839" s="114"/>
    </row>
    <row r="840">
      <c r="B840" s="114"/>
      <c r="C840" s="89"/>
      <c r="D840" s="104"/>
      <c r="N840" s="114"/>
    </row>
    <row r="841">
      <c r="B841" s="114"/>
      <c r="C841" s="89"/>
      <c r="D841" s="104"/>
      <c r="N841" s="114"/>
    </row>
    <row r="842">
      <c r="B842" s="114"/>
      <c r="C842" s="89"/>
      <c r="D842" s="104"/>
      <c r="N842" s="114"/>
    </row>
    <row r="843">
      <c r="B843" s="114"/>
      <c r="C843" s="89"/>
      <c r="D843" s="104"/>
      <c r="N843" s="114"/>
    </row>
    <row r="844">
      <c r="B844" s="114"/>
      <c r="C844" s="89"/>
      <c r="D844" s="104"/>
      <c r="N844" s="114"/>
    </row>
    <row r="845">
      <c r="B845" s="114"/>
      <c r="C845" s="89"/>
      <c r="D845" s="104"/>
      <c r="N845" s="114"/>
    </row>
    <row r="846">
      <c r="B846" s="114"/>
      <c r="C846" s="89"/>
      <c r="D846" s="104"/>
      <c r="N846" s="114"/>
    </row>
    <row r="847">
      <c r="B847" s="114"/>
      <c r="C847" s="89"/>
      <c r="D847" s="104"/>
      <c r="N847" s="114"/>
    </row>
    <row r="848">
      <c r="B848" s="114"/>
      <c r="C848" s="89"/>
      <c r="D848" s="104"/>
      <c r="N848" s="114"/>
    </row>
    <row r="849">
      <c r="B849" s="114"/>
      <c r="C849" s="89"/>
      <c r="D849" s="104"/>
      <c r="N849" s="114"/>
    </row>
    <row r="850">
      <c r="B850" s="114"/>
      <c r="C850" s="89"/>
      <c r="D850" s="104"/>
      <c r="N850" s="114"/>
    </row>
    <row r="851">
      <c r="B851" s="114"/>
      <c r="C851" s="89"/>
      <c r="D851" s="104"/>
      <c r="N851" s="114"/>
    </row>
    <row r="852">
      <c r="B852" s="114"/>
      <c r="C852" s="89"/>
      <c r="D852" s="104"/>
      <c r="N852" s="114"/>
    </row>
    <row r="853">
      <c r="B853" s="114"/>
      <c r="C853" s="89"/>
      <c r="D853" s="104"/>
      <c r="N853" s="114"/>
    </row>
    <row r="854">
      <c r="B854" s="114"/>
      <c r="C854" s="89"/>
      <c r="D854" s="104"/>
      <c r="N854" s="114"/>
    </row>
    <row r="855">
      <c r="B855" s="114"/>
      <c r="C855" s="89"/>
      <c r="D855" s="104"/>
      <c r="N855" s="114"/>
    </row>
    <row r="856">
      <c r="B856" s="114"/>
      <c r="C856" s="89"/>
      <c r="D856" s="104"/>
      <c r="N856" s="114"/>
    </row>
    <row r="857">
      <c r="B857" s="114"/>
      <c r="C857" s="89"/>
      <c r="D857" s="104"/>
      <c r="N857" s="114"/>
    </row>
    <row r="858">
      <c r="B858" s="114"/>
      <c r="C858" s="89"/>
      <c r="D858" s="104"/>
      <c r="N858" s="114"/>
    </row>
    <row r="859">
      <c r="B859" s="114"/>
      <c r="C859" s="89"/>
      <c r="D859" s="104"/>
      <c r="N859" s="114"/>
    </row>
    <row r="860">
      <c r="B860" s="114"/>
      <c r="C860" s="89"/>
      <c r="D860" s="104"/>
      <c r="N860" s="114"/>
    </row>
    <row r="861">
      <c r="B861" s="114"/>
      <c r="C861" s="89"/>
      <c r="D861" s="104"/>
      <c r="N861" s="114"/>
    </row>
    <row r="862">
      <c r="B862" s="114"/>
      <c r="C862" s="89"/>
      <c r="D862" s="104"/>
      <c r="N862" s="114"/>
    </row>
    <row r="863">
      <c r="B863" s="114"/>
      <c r="C863" s="89"/>
      <c r="D863" s="104"/>
      <c r="N863" s="114"/>
    </row>
    <row r="864">
      <c r="B864" s="114"/>
      <c r="C864" s="89"/>
      <c r="D864" s="104"/>
      <c r="N864" s="114"/>
    </row>
    <row r="865">
      <c r="B865" s="114"/>
      <c r="C865" s="89"/>
      <c r="D865" s="104"/>
      <c r="N865" s="114"/>
    </row>
    <row r="866">
      <c r="B866" s="114"/>
      <c r="C866" s="89"/>
      <c r="D866" s="104"/>
      <c r="N866" s="114"/>
    </row>
    <row r="867">
      <c r="B867" s="114"/>
      <c r="C867" s="89"/>
      <c r="D867" s="104"/>
      <c r="N867" s="114"/>
    </row>
    <row r="868">
      <c r="B868" s="114"/>
      <c r="C868" s="89"/>
      <c r="D868" s="104"/>
      <c r="N868" s="114"/>
    </row>
    <row r="869">
      <c r="B869" s="114"/>
      <c r="C869" s="89"/>
      <c r="D869" s="104"/>
      <c r="N869" s="114"/>
    </row>
    <row r="870">
      <c r="B870" s="114"/>
      <c r="C870" s="89"/>
      <c r="D870" s="104"/>
      <c r="N870" s="114"/>
    </row>
    <row r="871">
      <c r="B871" s="114"/>
      <c r="C871" s="89"/>
      <c r="D871" s="104"/>
      <c r="N871" s="114"/>
    </row>
    <row r="872">
      <c r="B872" s="114"/>
      <c r="C872" s="89"/>
      <c r="D872" s="104"/>
      <c r="N872" s="114"/>
    </row>
    <row r="873">
      <c r="B873" s="114"/>
      <c r="C873" s="89"/>
      <c r="D873" s="104"/>
      <c r="N873" s="114"/>
    </row>
    <row r="874">
      <c r="B874" s="114"/>
      <c r="C874" s="89"/>
      <c r="D874" s="104"/>
      <c r="N874" s="114"/>
    </row>
    <row r="875">
      <c r="B875" s="114"/>
      <c r="C875" s="89"/>
      <c r="D875" s="104"/>
      <c r="N875" s="114"/>
    </row>
    <row r="876">
      <c r="B876" s="114"/>
      <c r="C876" s="89"/>
      <c r="D876" s="104"/>
      <c r="N876" s="114"/>
    </row>
    <row r="877">
      <c r="B877" s="114"/>
      <c r="C877" s="89"/>
      <c r="D877" s="104"/>
      <c r="N877" s="114"/>
    </row>
    <row r="878">
      <c r="B878" s="114"/>
      <c r="C878" s="89"/>
      <c r="D878" s="104"/>
      <c r="N878" s="114"/>
    </row>
    <row r="879">
      <c r="B879" s="114"/>
      <c r="C879" s="89"/>
      <c r="D879" s="104"/>
      <c r="N879" s="114"/>
    </row>
    <row r="880">
      <c r="B880" s="114"/>
      <c r="C880" s="89"/>
      <c r="D880" s="104"/>
      <c r="N880" s="114"/>
    </row>
    <row r="881">
      <c r="B881" s="114"/>
      <c r="C881" s="89"/>
      <c r="D881" s="104"/>
      <c r="N881" s="114"/>
    </row>
    <row r="882">
      <c r="B882" s="114"/>
      <c r="C882" s="89"/>
      <c r="D882" s="104"/>
      <c r="N882" s="114"/>
    </row>
    <row r="883">
      <c r="B883" s="114"/>
      <c r="C883" s="89"/>
      <c r="D883" s="104"/>
      <c r="N883" s="114"/>
    </row>
    <row r="884">
      <c r="B884" s="114"/>
      <c r="C884" s="89"/>
      <c r="D884" s="104"/>
      <c r="N884" s="114"/>
    </row>
    <row r="885">
      <c r="B885" s="114"/>
      <c r="C885" s="89"/>
      <c r="D885" s="104"/>
      <c r="N885" s="114"/>
    </row>
    <row r="886">
      <c r="B886" s="114"/>
      <c r="C886" s="89"/>
      <c r="D886" s="104"/>
      <c r="N886" s="114"/>
    </row>
    <row r="887">
      <c r="B887" s="114"/>
      <c r="C887" s="89"/>
      <c r="D887" s="104"/>
      <c r="N887" s="114"/>
    </row>
    <row r="888">
      <c r="B888" s="114"/>
      <c r="C888" s="89"/>
      <c r="D888" s="104"/>
      <c r="N888" s="114"/>
    </row>
    <row r="889">
      <c r="B889" s="114"/>
      <c r="C889" s="89"/>
      <c r="D889" s="104"/>
      <c r="N889" s="114"/>
    </row>
    <row r="890">
      <c r="B890" s="114"/>
      <c r="C890" s="89"/>
      <c r="D890" s="104"/>
      <c r="N890" s="114"/>
    </row>
    <row r="891">
      <c r="B891" s="114"/>
      <c r="C891" s="89"/>
      <c r="D891" s="104"/>
      <c r="N891" s="114"/>
    </row>
    <row r="892">
      <c r="B892" s="114"/>
      <c r="C892" s="89"/>
      <c r="D892" s="104"/>
      <c r="N892" s="114"/>
    </row>
    <row r="893">
      <c r="B893" s="114"/>
      <c r="C893" s="89"/>
      <c r="D893" s="104"/>
      <c r="N893" s="114"/>
    </row>
    <row r="894">
      <c r="B894" s="114"/>
      <c r="C894" s="89"/>
      <c r="D894" s="104"/>
      <c r="N894" s="114"/>
    </row>
    <row r="895">
      <c r="B895" s="114"/>
      <c r="C895" s="89"/>
      <c r="D895" s="104"/>
      <c r="N895" s="114"/>
    </row>
    <row r="896">
      <c r="B896" s="114"/>
      <c r="C896" s="89"/>
      <c r="D896" s="104"/>
      <c r="N896" s="114"/>
    </row>
    <row r="897">
      <c r="B897" s="114"/>
      <c r="C897" s="89"/>
      <c r="D897" s="104"/>
      <c r="N897" s="114"/>
    </row>
    <row r="898">
      <c r="B898" s="114"/>
      <c r="C898" s="89"/>
      <c r="D898" s="104"/>
      <c r="N898" s="114"/>
    </row>
    <row r="899">
      <c r="B899" s="114"/>
      <c r="C899" s="89"/>
      <c r="D899" s="104"/>
      <c r="N899" s="114"/>
    </row>
    <row r="900">
      <c r="B900" s="114"/>
      <c r="C900" s="89"/>
      <c r="D900" s="104"/>
      <c r="N900" s="114"/>
    </row>
    <row r="901">
      <c r="B901" s="114"/>
      <c r="C901" s="89"/>
      <c r="D901" s="104"/>
      <c r="N901" s="114"/>
    </row>
    <row r="902">
      <c r="B902" s="114"/>
      <c r="C902" s="89"/>
      <c r="D902" s="104"/>
      <c r="N902" s="114"/>
    </row>
    <row r="903">
      <c r="B903" s="114"/>
      <c r="C903" s="89"/>
      <c r="D903" s="104"/>
      <c r="N903" s="114"/>
    </row>
    <row r="904">
      <c r="B904" s="114"/>
      <c r="C904" s="89"/>
      <c r="D904" s="104"/>
      <c r="N904" s="114"/>
    </row>
    <row r="905">
      <c r="B905" s="114"/>
      <c r="C905" s="89"/>
      <c r="D905" s="104"/>
      <c r="N905" s="114"/>
    </row>
    <row r="906">
      <c r="B906" s="114"/>
      <c r="C906" s="89"/>
      <c r="D906" s="104"/>
      <c r="N906" s="114"/>
    </row>
    <row r="907">
      <c r="B907" s="114"/>
      <c r="C907" s="89"/>
      <c r="D907" s="104"/>
      <c r="N907" s="114"/>
    </row>
    <row r="908">
      <c r="B908" s="114"/>
      <c r="C908" s="89"/>
      <c r="D908" s="104"/>
      <c r="N908" s="114"/>
    </row>
    <row r="909">
      <c r="B909" s="114"/>
      <c r="C909" s="89"/>
      <c r="D909" s="104"/>
      <c r="N909" s="114"/>
    </row>
    <row r="910">
      <c r="B910" s="114"/>
      <c r="C910" s="89"/>
      <c r="D910" s="104"/>
      <c r="N910" s="114"/>
    </row>
    <row r="911">
      <c r="B911" s="114"/>
      <c r="C911" s="89"/>
      <c r="D911" s="104"/>
      <c r="N911" s="114"/>
    </row>
    <row r="912">
      <c r="B912" s="114"/>
      <c r="C912" s="89"/>
      <c r="D912" s="104"/>
      <c r="N912" s="114"/>
    </row>
    <row r="913">
      <c r="B913" s="114"/>
      <c r="C913" s="89"/>
      <c r="D913" s="104"/>
      <c r="N913" s="114"/>
    </row>
    <row r="914">
      <c r="B914" s="114"/>
      <c r="C914" s="89"/>
      <c r="D914" s="104"/>
      <c r="N914" s="114"/>
    </row>
    <row r="915">
      <c r="B915" s="114"/>
      <c r="C915" s="89"/>
      <c r="D915" s="104"/>
      <c r="N915" s="114"/>
    </row>
    <row r="916">
      <c r="B916" s="114"/>
      <c r="C916" s="89"/>
      <c r="D916" s="104"/>
      <c r="N916" s="114"/>
    </row>
    <row r="917">
      <c r="B917" s="114"/>
      <c r="C917" s="89"/>
      <c r="D917" s="104"/>
      <c r="N917" s="114"/>
    </row>
    <row r="918">
      <c r="B918" s="114"/>
      <c r="C918" s="89"/>
      <c r="D918" s="104"/>
      <c r="N918" s="114"/>
    </row>
    <row r="919">
      <c r="B919" s="114"/>
      <c r="C919" s="89"/>
      <c r="D919" s="104"/>
      <c r="N919" s="114"/>
    </row>
    <row r="920">
      <c r="B920" s="114"/>
      <c r="C920" s="89"/>
      <c r="D920" s="104"/>
      <c r="N920" s="114"/>
    </row>
    <row r="921">
      <c r="B921" s="114"/>
      <c r="C921" s="89"/>
      <c r="D921" s="104"/>
      <c r="N921" s="114"/>
    </row>
    <row r="922">
      <c r="B922" s="114"/>
      <c r="C922" s="89"/>
      <c r="D922" s="104"/>
      <c r="N922" s="114"/>
    </row>
    <row r="923">
      <c r="B923" s="114"/>
      <c r="C923" s="89"/>
      <c r="D923" s="104"/>
      <c r="N923" s="114"/>
    </row>
    <row r="924">
      <c r="B924" s="114"/>
      <c r="C924" s="89"/>
      <c r="D924" s="104"/>
      <c r="N924" s="114"/>
    </row>
    <row r="925">
      <c r="B925" s="114"/>
      <c r="C925" s="89"/>
      <c r="D925" s="104"/>
      <c r="N925" s="114"/>
    </row>
    <row r="926">
      <c r="B926" s="114"/>
      <c r="C926" s="89"/>
      <c r="D926" s="104"/>
      <c r="N926" s="114"/>
    </row>
    <row r="927">
      <c r="B927" s="114"/>
      <c r="C927" s="89"/>
      <c r="D927" s="104"/>
      <c r="N927" s="114"/>
    </row>
    <row r="928">
      <c r="B928" s="114"/>
      <c r="C928" s="89"/>
      <c r="D928" s="104"/>
      <c r="N928" s="114"/>
    </row>
    <row r="929">
      <c r="B929" s="114"/>
      <c r="C929" s="89"/>
      <c r="D929" s="104"/>
      <c r="N929" s="114"/>
    </row>
    <row r="930">
      <c r="B930" s="114"/>
      <c r="C930" s="89"/>
      <c r="D930" s="104"/>
      <c r="N930" s="114"/>
    </row>
    <row r="931">
      <c r="B931" s="114"/>
      <c r="C931" s="89"/>
      <c r="D931" s="104"/>
      <c r="N931" s="114"/>
    </row>
    <row r="932">
      <c r="B932" s="114"/>
      <c r="C932" s="89"/>
      <c r="D932" s="104"/>
      <c r="N932" s="114"/>
    </row>
    <row r="933">
      <c r="B933" s="114"/>
      <c r="C933" s="89"/>
      <c r="D933" s="104"/>
      <c r="N933" s="114"/>
    </row>
    <row r="934">
      <c r="B934" s="114"/>
      <c r="C934" s="89"/>
      <c r="D934" s="104"/>
      <c r="N934" s="114"/>
    </row>
    <row r="935">
      <c r="B935" s="114"/>
      <c r="C935" s="89"/>
      <c r="D935" s="104"/>
      <c r="N935" s="114"/>
    </row>
    <row r="936">
      <c r="B936" s="114"/>
      <c r="C936" s="89"/>
      <c r="D936" s="104"/>
      <c r="N936" s="114"/>
    </row>
    <row r="937">
      <c r="B937" s="114"/>
      <c r="C937" s="89"/>
      <c r="D937" s="104"/>
      <c r="N937" s="114"/>
    </row>
    <row r="938">
      <c r="B938" s="114"/>
      <c r="C938" s="89"/>
      <c r="D938" s="104"/>
      <c r="N938" s="114"/>
    </row>
    <row r="939">
      <c r="B939" s="114"/>
      <c r="C939" s="89"/>
      <c r="D939" s="104"/>
      <c r="N939" s="114"/>
    </row>
    <row r="940">
      <c r="B940" s="114"/>
      <c r="C940" s="89"/>
      <c r="D940" s="104"/>
      <c r="N940" s="114"/>
    </row>
    <row r="941">
      <c r="B941" s="114"/>
      <c r="C941" s="89"/>
      <c r="D941" s="104"/>
      <c r="N941" s="114"/>
    </row>
    <row r="942">
      <c r="B942" s="114"/>
      <c r="C942" s="89"/>
      <c r="D942" s="104"/>
      <c r="N942" s="114"/>
    </row>
    <row r="943">
      <c r="B943" s="114"/>
      <c r="C943" s="89"/>
      <c r="D943" s="104"/>
      <c r="N943" s="114"/>
    </row>
    <row r="944">
      <c r="B944" s="114"/>
      <c r="C944" s="89"/>
      <c r="D944" s="104"/>
      <c r="N944" s="114"/>
    </row>
    <row r="945">
      <c r="B945" s="114"/>
      <c r="C945" s="89"/>
      <c r="D945" s="104"/>
      <c r="N945" s="114"/>
    </row>
    <row r="946">
      <c r="B946" s="114"/>
      <c r="C946" s="89"/>
      <c r="D946" s="104"/>
      <c r="N946" s="114"/>
    </row>
    <row r="947">
      <c r="B947" s="114"/>
      <c r="C947" s="89"/>
      <c r="D947" s="104"/>
      <c r="N947" s="114"/>
    </row>
    <row r="948">
      <c r="B948" s="114"/>
      <c r="C948" s="89"/>
      <c r="D948" s="104"/>
      <c r="N948" s="114"/>
    </row>
    <row r="949">
      <c r="B949" s="114"/>
      <c r="C949" s="89"/>
      <c r="D949" s="104"/>
      <c r="N949" s="114"/>
    </row>
    <row r="950">
      <c r="B950" s="114"/>
      <c r="C950" s="89"/>
      <c r="D950" s="104"/>
      <c r="N950" s="114"/>
    </row>
    <row r="951">
      <c r="B951" s="114"/>
      <c r="C951" s="89"/>
      <c r="D951" s="104"/>
      <c r="N951" s="114"/>
    </row>
    <row r="952">
      <c r="B952" s="114"/>
      <c r="C952" s="89"/>
      <c r="D952" s="104"/>
      <c r="N952" s="114"/>
    </row>
    <row r="953">
      <c r="B953" s="114"/>
      <c r="C953" s="89"/>
      <c r="D953" s="104"/>
      <c r="N953" s="114"/>
    </row>
    <row r="954">
      <c r="B954" s="114"/>
      <c r="C954" s="89"/>
      <c r="D954" s="104"/>
      <c r="N954" s="114"/>
    </row>
    <row r="955">
      <c r="B955" s="114"/>
      <c r="C955" s="89"/>
      <c r="D955" s="104"/>
      <c r="N955" s="114"/>
    </row>
    <row r="956">
      <c r="B956" s="114"/>
      <c r="C956" s="89"/>
      <c r="D956" s="104"/>
      <c r="N956" s="114"/>
    </row>
    <row r="957">
      <c r="B957" s="114"/>
      <c r="C957" s="89"/>
      <c r="D957" s="104"/>
      <c r="N957" s="114"/>
    </row>
    <row r="958">
      <c r="B958" s="114"/>
      <c r="C958" s="89"/>
      <c r="D958" s="104"/>
      <c r="N958" s="114"/>
    </row>
    <row r="959">
      <c r="B959" s="114"/>
      <c r="C959" s="89"/>
      <c r="D959" s="104"/>
      <c r="N959" s="114"/>
    </row>
    <row r="960">
      <c r="B960" s="114"/>
      <c r="C960" s="89"/>
      <c r="D960" s="104"/>
      <c r="N960" s="114"/>
    </row>
    <row r="961">
      <c r="B961" s="114"/>
      <c r="C961" s="89"/>
      <c r="D961" s="104"/>
      <c r="N961" s="114"/>
    </row>
    <row r="962">
      <c r="B962" s="114"/>
      <c r="C962" s="89"/>
      <c r="D962" s="104"/>
      <c r="N962" s="114"/>
    </row>
    <row r="963">
      <c r="B963" s="114"/>
      <c r="C963" s="89"/>
      <c r="D963" s="104"/>
      <c r="N963" s="114"/>
    </row>
    <row r="964">
      <c r="B964" s="114"/>
      <c r="C964" s="89"/>
      <c r="D964" s="104"/>
      <c r="N964" s="114"/>
    </row>
    <row r="965">
      <c r="B965" s="114"/>
      <c r="C965" s="89"/>
      <c r="D965" s="104"/>
      <c r="N965" s="114"/>
    </row>
    <row r="966">
      <c r="B966" s="114"/>
      <c r="C966" s="89"/>
      <c r="D966" s="104"/>
      <c r="N966" s="114"/>
    </row>
    <row r="967">
      <c r="B967" s="114"/>
      <c r="C967" s="89"/>
      <c r="D967" s="104"/>
      <c r="N967" s="114"/>
    </row>
    <row r="968">
      <c r="B968" s="114"/>
      <c r="C968" s="89"/>
      <c r="D968" s="104"/>
      <c r="N968" s="114"/>
    </row>
    <row r="969">
      <c r="B969" s="114"/>
      <c r="C969" s="89"/>
      <c r="D969" s="104"/>
      <c r="N969" s="114"/>
    </row>
    <row r="970">
      <c r="B970" s="114"/>
      <c r="C970" s="89"/>
      <c r="D970" s="104"/>
      <c r="N970" s="114"/>
    </row>
    <row r="971">
      <c r="B971" s="114"/>
      <c r="C971" s="89"/>
      <c r="D971" s="104"/>
      <c r="N971" s="114"/>
    </row>
    <row r="972">
      <c r="B972" s="114"/>
      <c r="C972" s="89"/>
      <c r="D972" s="104"/>
      <c r="N972" s="114"/>
    </row>
    <row r="973">
      <c r="B973" s="114"/>
      <c r="C973" s="89"/>
      <c r="D973" s="104"/>
      <c r="N973" s="114"/>
    </row>
    <row r="974">
      <c r="B974" s="114"/>
      <c r="C974" s="89"/>
      <c r="D974" s="104"/>
      <c r="N974" s="114"/>
    </row>
    <row r="975">
      <c r="B975" s="114"/>
      <c r="C975" s="89"/>
      <c r="D975" s="104"/>
      <c r="N975" s="114"/>
    </row>
    <row r="976">
      <c r="B976" s="114"/>
      <c r="C976" s="89"/>
      <c r="D976" s="104"/>
      <c r="N976" s="114"/>
    </row>
    <row r="977">
      <c r="B977" s="114"/>
      <c r="C977" s="89"/>
      <c r="D977" s="104"/>
      <c r="N977" s="114"/>
    </row>
    <row r="978">
      <c r="B978" s="114"/>
      <c r="C978" s="89"/>
      <c r="D978" s="104"/>
      <c r="N978" s="114"/>
    </row>
    <row r="979">
      <c r="B979" s="114"/>
      <c r="C979" s="89"/>
      <c r="D979" s="104"/>
      <c r="N979" s="114"/>
    </row>
    <row r="980">
      <c r="B980" s="114"/>
      <c r="C980" s="89"/>
      <c r="D980" s="104"/>
      <c r="N980" s="114"/>
    </row>
    <row r="981">
      <c r="B981" s="114"/>
      <c r="C981" s="89"/>
      <c r="D981" s="104"/>
      <c r="N981" s="114"/>
    </row>
    <row r="982">
      <c r="B982" s="114"/>
      <c r="C982" s="89"/>
      <c r="D982" s="104"/>
      <c r="N982" s="114"/>
    </row>
    <row r="983">
      <c r="B983" s="114"/>
      <c r="C983" s="89"/>
      <c r="D983" s="104"/>
      <c r="N983" s="114"/>
    </row>
    <row r="984">
      <c r="B984" s="114"/>
      <c r="C984" s="89"/>
      <c r="D984" s="104"/>
      <c r="N984" s="114"/>
    </row>
    <row r="985">
      <c r="B985" s="114"/>
      <c r="C985" s="89"/>
      <c r="D985" s="104"/>
      <c r="N985" s="114"/>
    </row>
    <row r="986">
      <c r="B986" s="114"/>
      <c r="C986" s="89"/>
      <c r="D986" s="104"/>
      <c r="N986" s="114"/>
    </row>
    <row r="987">
      <c r="B987" s="114"/>
      <c r="C987" s="89"/>
      <c r="D987" s="104"/>
      <c r="N987" s="114"/>
    </row>
    <row r="988">
      <c r="B988" s="114"/>
      <c r="C988" s="89"/>
      <c r="D988" s="104"/>
      <c r="N988" s="114"/>
    </row>
    <row r="989">
      <c r="B989" s="114"/>
      <c r="C989" s="89"/>
      <c r="D989" s="104"/>
      <c r="N989" s="114"/>
    </row>
    <row r="990">
      <c r="B990" s="114"/>
      <c r="C990" s="89"/>
      <c r="D990" s="104"/>
      <c r="N990" s="114"/>
    </row>
    <row r="991">
      <c r="B991" s="114"/>
      <c r="C991" s="89"/>
      <c r="D991" s="104"/>
      <c r="N991" s="114"/>
    </row>
    <row r="992">
      <c r="B992" s="114"/>
      <c r="C992" s="89"/>
      <c r="D992" s="104"/>
      <c r="N992" s="114"/>
    </row>
    <row r="993">
      <c r="B993" s="114"/>
      <c r="C993" s="89"/>
      <c r="D993" s="104"/>
      <c r="N993" s="114"/>
    </row>
    <row r="994">
      <c r="B994" s="114"/>
      <c r="C994" s="89"/>
      <c r="D994" s="104"/>
      <c r="N994" s="114"/>
    </row>
    <row r="995">
      <c r="B995" s="114"/>
      <c r="C995" s="89"/>
      <c r="D995" s="104"/>
      <c r="N995" s="114"/>
    </row>
    <row r="996">
      <c r="B996" s="114"/>
      <c r="C996" s="89"/>
      <c r="D996" s="104"/>
      <c r="N996" s="114"/>
    </row>
    <row r="997">
      <c r="B997" s="114"/>
      <c r="C997" s="89"/>
      <c r="D997" s="104"/>
      <c r="N997" s="114"/>
    </row>
    <row r="998">
      <c r="B998" s="114"/>
      <c r="C998" s="89"/>
      <c r="D998" s="104"/>
      <c r="N998" s="114"/>
    </row>
    <row r="999">
      <c r="B999" s="114"/>
      <c r="C999" s="89"/>
      <c r="D999" s="104"/>
      <c r="N999" s="114"/>
    </row>
    <row r="1000">
      <c r="B1000" s="114"/>
      <c r="C1000" s="89"/>
      <c r="D1000" s="104"/>
      <c r="N1000" s="114"/>
    </row>
    <row r="1001">
      <c r="B1001" s="114"/>
      <c r="C1001" s="89"/>
      <c r="D1001" s="104"/>
      <c r="N1001" s="114"/>
    </row>
  </sheetData>
  <mergeCells count="1">
    <mergeCell ref="A2:A3"/>
  </mergeCells>
  <printOptions gridLines="1" horizontalCentered="1"/>
  <pageMargins bottom="0.75" footer="0.0" header="0.0" left="0.7" right="0.7" top="0.7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75"/>
    <col customWidth="1" min="4" max="4" width="20.25"/>
  </cols>
  <sheetData>
    <row r="1">
      <c r="A1" s="97">
        <f>sum(A3:A13)</f>
        <v>6</v>
      </c>
      <c r="B1" s="98" t="s">
        <v>0</v>
      </c>
      <c r="C1" s="99" t="s">
        <v>62</v>
      </c>
      <c r="D1" s="100" t="s">
        <v>60</v>
      </c>
    </row>
    <row r="2">
      <c r="A2" s="102" t="s">
        <v>61</v>
      </c>
      <c r="B2" s="103">
        <v>46059.0</v>
      </c>
      <c r="C2" s="80">
        <v>0.0019436345966956647</v>
      </c>
      <c r="D2" s="104"/>
    </row>
    <row r="3">
      <c r="A3" s="107"/>
      <c r="B3" s="14">
        <v>46055.0</v>
      </c>
      <c r="C3" s="80">
        <v>-0.024644549763033097</v>
      </c>
      <c r="D3" s="104"/>
    </row>
    <row r="4">
      <c r="A4" s="110">
        <v>1.0</v>
      </c>
      <c r="B4" s="19">
        <f t="shared" ref="B4:B53" si="1">B3-7</f>
        <v>46048</v>
      </c>
      <c r="C4" s="80">
        <v>0.04352126607319495</v>
      </c>
      <c r="D4" s="6">
        <v>6939.03</v>
      </c>
    </row>
    <row r="5">
      <c r="A5" s="110">
        <v>1.0</v>
      </c>
      <c r="B5" s="19">
        <f t="shared" si="1"/>
        <v>46041</v>
      </c>
      <c r="C5" s="80">
        <v>-0.03622497616777898</v>
      </c>
      <c r="D5" s="9">
        <v>6915.61</v>
      </c>
    </row>
    <row r="6">
      <c r="A6" s="110">
        <v>1.0</v>
      </c>
      <c r="B6" s="19">
        <f t="shared" si="1"/>
        <v>46034</v>
      </c>
      <c r="C6" s="80">
        <v>-0.024186046511627812</v>
      </c>
      <c r="D6" s="6">
        <v>6940.01</v>
      </c>
    </row>
    <row r="7">
      <c r="A7" s="110">
        <v>1.0</v>
      </c>
      <c r="B7" s="19">
        <f t="shared" si="1"/>
        <v>46027</v>
      </c>
      <c r="C7" s="80">
        <v>0.02969348659003823</v>
      </c>
      <c r="D7" s="9">
        <v>6966.28</v>
      </c>
    </row>
    <row r="8">
      <c r="A8" s="110">
        <v>1.0</v>
      </c>
      <c r="B8" s="19">
        <f t="shared" si="1"/>
        <v>46020</v>
      </c>
      <c r="C8" s="80">
        <v>-0.005714285714285672</v>
      </c>
      <c r="D8" s="6">
        <v>6858.47</v>
      </c>
    </row>
    <row r="9">
      <c r="A9" s="110">
        <v>1.0</v>
      </c>
      <c r="B9" s="19">
        <f t="shared" si="1"/>
        <v>46013</v>
      </c>
      <c r="C9" s="80">
        <v>-0.040219378427788</v>
      </c>
      <c r="D9" s="9">
        <v>6929.94</v>
      </c>
    </row>
    <row r="10">
      <c r="B10" s="19">
        <f t="shared" si="1"/>
        <v>46006</v>
      </c>
      <c r="C10" s="80">
        <v>0.010156971375808066</v>
      </c>
      <c r="D10" s="6">
        <v>6834.5</v>
      </c>
    </row>
    <row r="11">
      <c r="B11" s="19">
        <f t="shared" si="1"/>
        <v>45999</v>
      </c>
      <c r="C11" s="80">
        <v>0.08844221105527628</v>
      </c>
      <c r="D11" s="9">
        <v>6827.41</v>
      </c>
    </row>
    <row r="12">
      <c r="B12" s="19">
        <f t="shared" si="1"/>
        <v>45992</v>
      </c>
      <c r="C12" s="80">
        <v>0.03484139365574612</v>
      </c>
      <c r="D12" s="6">
        <v>6870.4</v>
      </c>
    </row>
    <row r="13">
      <c r="B13" s="19">
        <f t="shared" si="1"/>
        <v>45985</v>
      </c>
      <c r="C13" s="80">
        <v>-0.035122930255895635</v>
      </c>
      <c r="D13" s="9">
        <v>6849.09</v>
      </c>
    </row>
    <row r="14">
      <c r="B14" s="19">
        <f t="shared" si="1"/>
        <v>45978</v>
      </c>
      <c r="C14" s="80">
        <v>0.05060622034791784</v>
      </c>
      <c r="D14" s="6">
        <v>6602.99</v>
      </c>
    </row>
    <row r="15">
      <c r="B15" s="19">
        <f t="shared" si="1"/>
        <v>45971</v>
      </c>
      <c r="C15" s="80">
        <v>0.03831417624521083</v>
      </c>
      <c r="D15" s="9">
        <v>6734.11</v>
      </c>
    </row>
    <row r="16">
      <c r="B16" s="19">
        <f t="shared" si="1"/>
        <v>45964</v>
      </c>
      <c r="C16" s="115">
        <v>-0.0010934937124112976</v>
      </c>
      <c r="D16" s="6">
        <v>6728.8</v>
      </c>
    </row>
    <row r="17">
      <c r="B17" s="19">
        <f t="shared" si="1"/>
        <v>45957</v>
      </c>
      <c r="C17" s="80">
        <v>-0.011351351351351346</v>
      </c>
      <c r="D17" s="9">
        <v>6840.2</v>
      </c>
    </row>
    <row r="18">
      <c r="B18" s="19">
        <f t="shared" si="1"/>
        <v>45950</v>
      </c>
      <c r="C18" s="80">
        <v>0.018161805173362744</v>
      </c>
      <c r="D18" s="6">
        <v>6791.69</v>
      </c>
    </row>
    <row r="19">
      <c r="B19" s="19">
        <f t="shared" si="1"/>
        <v>45943</v>
      </c>
      <c r="C19" s="80">
        <v>-0.035562632696390706</v>
      </c>
      <c r="D19" s="9">
        <v>6664.01</v>
      </c>
    </row>
    <row r="20">
      <c r="B20" s="19">
        <f t="shared" si="1"/>
        <v>45936</v>
      </c>
      <c r="C20" s="80">
        <v>0.017278617710583255</v>
      </c>
      <c r="D20" s="6">
        <v>6552.51</v>
      </c>
    </row>
    <row r="21">
      <c r="B21" s="19">
        <f t="shared" si="1"/>
        <v>45929</v>
      </c>
      <c r="C21" s="80">
        <v>-0.05798575788402849</v>
      </c>
      <c r="D21" s="9">
        <v>6715.79</v>
      </c>
    </row>
    <row r="22">
      <c r="B22" s="19">
        <f t="shared" si="1"/>
        <v>45922</v>
      </c>
      <c r="C22" s="80">
        <v>-0.047480620155038844</v>
      </c>
      <c r="D22" s="6">
        <v>6643.7</v>
      </c>
    </row>
    <row r="23">
      <c r="B23" s="19">
        <f t="shared" si="1"/>
        <v>45915</v>
      </c>
      <c r="C23" s="80">
        <v>0.017751479289940697</v>
      </c>
      <c r="D23" s="9">
        <v>6664.36</v>
      </c>
    </row>
    <row r="24">
      <c r="B24" s="19">
        <f t="shared" si="1"/>
        <v>45908</v>
      </c>
      <c r="C24" s="80">
        <v>-0.007827788649706457</v>
      </c>
      <c r="D24" s="6">
        <v>6584.29</v>
      </c>
    </row>
    <row r="25">
      <c r="B25" s="19">
        <f t="shared" si="1"/>
        <v>45901</v>
      </c>
      <c r="C25" s="80">
        <v>-0.026666666666666616</v>
      </c>
      <c r="D25" s="9">
        <v>6481.5</v>
      </c>
    </row>
    <row r="26">
      <c r="B26" s="19">
        <f t="shared" si="1"/>
        <v>45894</v>
      </c>
      <c r="C26" s="80">
        <v>0.02941176470588225</v>
      </c>
      <c r="D26" s="6">
        <v>6460.26</v>
      </c>
    </row>
    <row r="27">
      <c r="B27" s="19">
        <f t="shared" si="1"/>
        <v>45887</v>
      </c>
      <c r="C27" s="80">
        <v>0.04401228249744116</v>
      </c>
      <c r="D27" s="9">
        <v>6466.91</v>
      </c>
    </row>
    <row r="28">
      <c r="B28" s="19">
        <f t="shared" si="1"/>
        <v>45880</v>
      </c>
      <c r="C28" s="80">
        <v>0.06951286261631107</v>
      </c>
      <c r="D28" s="6">
        <v>6449.8</v>
      </c>
    </row>
    <row r="29">
      <c r="B29" s="19">
        <f t="shared" si="1"/>
        <v>45873</v>
      </c>
      <c r="C29" s="80">
        <v>-0.10878048780487815</v>
      </c>
      <c r="D29" s="9">
        <v>6389.45</v>
      </c>
    </row>
    <row r="30">
      <c r="B30" s="19">
        <f t="shared" si="1"/>
        <v>45866</v>
      </c>
      <c r="C30" s="80">
        <v>0.11050920910075845</v>
      </c>
      <c r="D30" s="6">
        <v>6238.01</v>
      </c>
    </row>
    <row r="31">
      <c r="B31" s="19">
        <f t="shared" si="1"/>
        <v>45859</v>
      </c>
      <c r="C31" s="80">
        <v>-0.053333333333333344</v>
      </c>
      <c r="D31" s="9">
        <v>6388.64</v>
      </c>
    </row>
    <row r="32">
      <c r="B32" s="19">
        <f t="shared" si="1"/>
        <v>45852</v>
      </c>
      <c r="C32" s="80">
        <v>0.05519480519480502</v>
      </c>
      <c r="D32" s="6">
        <v>6296.79</v>
      </c>
    </row>
    <row r="33">
      <c r="B33" s="19">
        <f t="shared" si="1"/>
        <v>45845</v>
      </c>
      <c r="C33" s="80">
        <v>-0.013347570742124892</v>
      </c>
      <c r="D33" s="9">
        <v>6259.75</v>
      </c>
    </row>
    <row r="34">
      <c r="B34" s="19">
        <f t="shared" si="1"/>
        <v>45838</v>
      </c>
      <c r="C34" s="80">
        <v>0.05461711711711725</v>
      </c>
      <c r="D34" s="6">
        <v>6279.35</v>
      </c>
    </row>
    <row r="35">
      <c r="B35" s="19">
        <f t="shared" si="1"/>
        <v>45831</v>
      </c>
      <c r="C35" s="80">
        <v>-0.017699115044247926</v>
      </c>
      <c r="D35" s="9">
        <v>6173.07</v>
      </c>
    </row>
    <row r="36">
      <c r="B36" s="19">
        <f t="shared" si="1"/>
        <v>45824</v>
      </c>
      <c r="C36" s="80">
        <v>-0.030042918454935563</v>
      </c>
      <c r="D36" s="6">
        <v>5967.84</v>
      </c>
    </row>
    <row r="37">
      <c r="B37" s="19">
        <f t="shared" si="1"/>
        <v>45817</v>
      </c>
      <c r="C37" s="80">
        <v>-0.039175257731958735</v>
      </c>
      <c r="D37" s="9">
        <v>5976.97</v>
      </c>
    </row>
    <row r="38">
      <c r="B38" s="19">
        <f t="shared" si="1"/>
        <v>45810</v>
      </c>
      <c r="C38" s="80">
        <v>0.07933681985089569</v>
      </c>
      <c r="D38" s="6">
        <v>6000.36</v>
      </c>
    </row>
    <row r="39">
      <c r="B39" s="19">
        <f t="shared" si="1"/>
        <v>45803</v>
      </c>
      <c r="C39" s="80">
        <v>-0.07445932028836244</v>
      </c>
      <c r="D39" s="9">
        <v>5911.69</v>
      </c>
    </row>
    <row r="40">
      <c r="B40" s="19">
        <f t="shared" si="1"/>
        <v>45796</v>
      </c>
      <c r="C40" s="80">
        <v>0.013675749034345763</v>
      </c>
      <c r="D40" s="6">
        <v>5802.82</v>
      </c>
    </row>
    <row r="41">
      <c r="B41" s="19">
        <f t="shared" si="1"/>
        <v>45789</v>
      </c>
      <c r="C41" s="80">
        <v>0.03400259067357525</v>
      </c>
      <c r="D41" s="9">
        <v>5958.38</v>
      </c>
    </row>
    <row r="42">
      <c r="B42" s="19">
        <f t="shared" si="1"/>
        <v>45782</v>
      </c>
      <c r="C42" s="80">
        <v>-0.01645609937360648</v>
      </c>
      <c r="D42" s="6">
        <v>5659.91</v>
      </c>
    </row>
    <row r="43">
      <c r="B43" s="19">
        <f t="shared" si="1"/>
        <v>45775</v>
      </c>
      <c r="C43" s="80">
        <v>0.09740184084818826</v>
      </c>
      <c r="D43" s="9">
        <v>5686.67</v>
      </c>
    </row>
    <row r="44">
      <c r="B44" s="19">
        <f t="shared" si="1"/>
        <v>45768</v>
      </c>
      <c r="C44" s="80">
        <v>0.042765156117118064</v>
      </c>
      <c r="D44" s="6">
        <v>5525.21</v>
      </c>
    </row>
    <row r="45">
      <c r="B45" s="19">
        <f t="shared" si="1"/>
        <v>45761</v>
      </c>
      <c r="C45" s="80">
        <v>-0.027183548043966388</v>
      </c>
      <c r="D45" s="9">
        <v>5282.7</v>
      </c>
    </row>
    <row r="46">
      <c r="B46" s="19">
        <f t="shared" si="1"/>
        <v>45754</v>
      </c>
      <c r="C46" s="80">
        <v>-0.09216738197424901</v>
      </c>
      <c r="D46" s="6">
        <v>5363.36</v>
      </c>
    </row>
    <row r="47">
      <c r="B47" s="19">
        <f t="shared" si="1"/>
        <v>45747</v>
      </c>
      <c r="C47" s="80">
        <v>-0.0429246251797083</v>
      </c>
      <c r="D47" s="9">
        <v>5074.08</v>
      </c>
    </row>
    <row r="48">
      <c r="B48" s="19">
        <f t="shared" si="1"/>
        <v>45740</v>
      </c>
      <c r="C48" s="80">
        <v>-0.05474665113570176</v>
      </c>
      <c r="D48" s="6">
        <v>5580.94</v>
      </c>
    </row>
    <row r="49">
      <c r="B49" s="19">
        <f t="shared" si="1"/>
        <v>45733</v>
      </c>
      <c r="C49" s="80">
        <v>-0.011703760552570941</v>
      </c>
      <c r="D49" s="9">
        <v>5667.56</v>
      </c>
    </row>
    <row r="50">
      <c r="B50" s="19">
        <f t="shared" si="1"/>
        <v>45726</v>
      </c>
      <c r="C50" s="80">
        <v>0.03649199562493788</v>
      </c>
      <c r="D50" s="6">
        <v>5638.94</v>
      </c>
    </row>
    <row r="51">
      <c r="B51" s="19">
        <f t="shared" si="1"/>
        <v>45719</v>
      </c>
      <c r="C51" s="80">
        <v>0.04586106489184694</v>
      </c>
      <c r="D51" s="9">
        <v>5770.2</v>
      </c>
    </row>
    <row r="52">
      <c r="B52" s="19">
        <f t="shared" si="1"/>
        <v>45712</v>
      </c>
      <c r="C52" s="80">
        <v>-0.01161475999588868</v>
      </c>
      <c r="D52" s="6">
        <v>5954.5</v>
      </c>
    </row>
    <row r="53">
      <c r="B53" s="19">
        <f t="shared" si="1"/>
        <v>45705</v>
      </c>
      <c r="C53" s="80">
        <v>0.07419675389201741</v>
      </c>
      <c r="D53" s="9">
        <v>6013.13</v>
      </c>
    </row>
    <row r="54">
      <c r="B54" s="26">
        <v>45698.0</v>
      </c>
      <c r="C54" s="80"/>
      <c r="D54" s="6">
        <v>6114.63</v>
      </c>
    </row>
    <row r="55">
      <c r="B55" s="10">
        <v>45691.0</v>
      </c>
      <c r="C55" s="80"/>
      <c r="D55" s="12">
        <v>6025.99</v>
      </c>
    </row>
    <row r="56">
      <c r="B56" s="114"/>
      <c r="C56" s="89"/>
      <c r="D56" s="104"/>
    </row>
    <row r="57">
      <c r="B57" s="114"/>
      <c r="C57" s="89"/>
      <c r="D57" s="104"/>
    </row>
    <row r="58">
      <c r="B58" s="114"/>
      <c r="C58" s="89"/>
      <c r="D58" s="104"/>
    </row>
    <row r="59">
      <c r="B59" s="114"/>
      <c r="C59" s="89"/>
      <c r="D59" s="104"/>
    </row>
    <row r="60">
      <c r="B60" s="114"/>
      <c r="C60" s="89"/>
      <c r="D60" s="104"/>
    </row>
    <row r="61">
      <c r="B61" s="114"/>
      <c r="C61" s="89"/>
      <c r="D61" s="104"/>
    </row>
    <row r="62">
      <c r="B62" s="114"/>
      <c r="C62" s="89"/>
      <c r="D62" s="104"/>
    </row>
    <row r="63">
      <c r="B63" s="114"/>
      <c r="C63" s="89"/>
      <c r="D63" s="104"/>
    </row>
    <row r="64">
      <c r="B64" s="114"/>
      <c r="C64" s="89"/>
      <c r="D64" s="104"/>
    </row>
    <row r="65">
      <c r="B65" s="114"/>
      <c r="C65" s="89"/>
      <c r="D65" s="104"/>
    </row>
    <row r="66">
      <c r="B66" s="114"/>
      <c r="C66" s="89"/>
      <c r="D66" s="104"/>
    </row>
    <row r="67">
      <c r="B67" s="114"/>
      <c r="C67" s="89"/>
      <c r="D67" s="104"/>
    </row>
    <row r="68">
      <c r="B68" s="114"/>
      <c r="C68" s="89"/>
      <c r="D68" s="104"/>
    </row>
    <row r="69">
      <c r="B69" s="114"/>
      <c r="C69" s="89"/>
      <c r="D69" s="104"/>
    </row>
    <row r="70">
      <c r="B70" s="114"/>
      <c r="C70" s="89"/>
      <c r="D70" s="104"/>
    </row>
    <row r="71">
      <c r="B71" s="114"/>
      <c r="C71" s="89"/>
      <c r="D71" s="104"/>
    </row>
    <row r="72">
      <c r="B72" s="114"/>
      <c r="C72" s="89"/>
      <c r="D72" s="104"/>
    </row>
    <row r="73">
      <c r="B73" s="114"/>
      <c r="C73" s="89"/>
      <c r="D73" s="104"/>
    </row>
    <row r="74">
      <c r="B74" s="114"/>
      <c r="C74" s="89"/>
      <c r="D74" s="104"/>
    </row>
    <row r="75">
      <c r="B75" s="114"/>
      <c r="C75" s="89"/>
      <c r="D75" s="104"/>
    </row>
    <row r="76">
      <c r="B76" s="114"/>
      <c r="C76" s="89"/>
      <c r="D76" s="104"/>
    </row>
    <row r="77">
      <c r="B77" s="114"/>
      <c r="C77" s="89"/>
      <c r="D77" s="104"/>
    </row>
    <row r="78">
      <c r="B78" s="114"/>
      <c r="C78" s="89"/>
      <c r="D78" s="104"/>
    </row>
    <row r="79">
      <c r="B79" s="114"/>
      <c r="C79" s="89"/>
      <c r="D79" s="104"/>
    </row>
    <row r="80">
      <c r="B80" s="114"/>
      <c r="C80" s="89"/>
      <c r="D80" s="104"/>
    </row>
    <row r="81">
      <c r="B81" s="114"/>
      <c r="C81" s="89"/>
      <c r="D81" s="104"/>
    </row>
    <row r="82">
      <c r="B82" s="114"/>
      <c r="C82" s="89"/>
      <c r="D82" s="104"/>
    </row>
    <row r="83">
      <c r="B83" s="114"/>
      <c r="C83" s="89"/>
      <c r="D83" s="104"/>
    </row>
    <row r="84">
      <c r="B84" s="114"/>
      <c r="C84" s="89"/>
      <c r="D84" s="104"/>
    </row>
    <row r="85">
      <c r="B85" s="114"/>
      <c r="C85" s="89"/>
      <c r="D85" s="104"/>
    </row>
    <row r="86">
      <c r="B86" s="114"/>
      <c r="C86" s="89"/>
      <c r="D86" s="104"/>
    </row>
    <row r="87">
      <c r="B87" s="114"/>
      <c r="C87" s="89"/>
      <c r="D87" s="104"/>
    </row>
    <row r="88">
      <c r="B88" s="114"/>
      <c r="C88" s="89"/>
      <c r="D88" s="104"/>
    </row>
    <row r="89">
      <c r="B89" s="114"/>
      <c r="C89" s="89"/>
      <c r="D89" s="104"/>
    </row>
    <row r="90">
      <c r="B90" s="114"/>
      <c r="C90" s="89"/>
      <c r="D90" s="104"/>
    </row>
    <row r="91">
      <c r="B91" s="114"/>
      <c r="C91" s="89"/>
      <c r="D91" s="104"/>
    </row>
    <row r="92">
      <c r="B92" s="114"/>
      <c r="C92" s="89"/>
      <c r="D92" s="104"/>
    </row>
    <row r="93">
      <c r="B93" s="114"/>
      <c r="C93" s="89"/>
      <c r="D93" s="104"/>
    </row>
    <row r="94">
      <c r="B94" s="114"/>
      <c r="C94" s="89"/>
      <c r="D94" s="104"/>
    </row>
    <row r="95">
      <c r="B95" s="114"/>
      <c r="C95" s="89"/>
      <c r="D95" s="104"/>
    </row>
    <row r="96">
      <c r="B96" s="114"/>
      <c r="C96" s="89"/>
      <c r="D96" s="104"/>
    </row>
    <row r="97">
      <c r="B97" s="114"/>
      <c r="C97" s="89"/>
      <c r="D97" s="104"/>
    </row>
    <row r="98">
      <c r="B98" s="114"/>
      <c r="C98" s="89"/>
      <c r="D98" s="104"/>
    </row>
    <row r="99">
      <c r="B99" s="114"/>
      <c r="C99" s="89"/>
      <c r="D99" s="104"/>
    </row>
    <row r="100">
      <c r="B100" s="114"/>
      <c r="C100" s="89"/>
      <c r="D100" s="104"/>
    </row>
    <row r="101">
      <c r="B101" s="114"/>
      <c r="C101" s="89"/>
      <c r="D101" s="104"/>
    </row>
    <row r="102">
      <c r="B102" s="114"/>
      <c r="C102" s="89"/>
      <c r="D102" s="104"/>
    </row>
    <row r="103">
      <c r="B103" s="114"/>
      <c r="C103" s="89"/>
      <c r="D103" s="104"/>
    </row>
    <row r="104">
      <c r="B104" s="114"/>
      <c r="C104" s="89"/>
      <c r="D104" s="104"/>
    </row>
    <row r="105">
      <c r="B105" s="114"/>
      <c r="C105" s="89"/>
      <c r="D105" s="104"/>
    </row>
    <row r="106">
      <c r="B106" s="114"/>
      <c r="C106" s="89"/>
      <c r="D106" s="104"/>
    </row>
    <row r="107">
      <c r="B107" s="114"/>
      <c r="C107" s="89"/>
      <c r="D107" s="104"/>
    </row>
    <row r="108">
      <c r="B108" s="114"/>
      <c r="C108" s="89"/>
      <c r="D108" s="104"/>
    </row>
    <row r="109">
      <c r="B109" s="114"/>
      <c r="C109" s="89"/>
      <c r="D109" s="104"/>
    </row>
    <row r="110">
      <c r="B110" s="114"/>
      <c r="C110" s="89"/>
      <c r="D110" s="104"/>
    </row>
    <row r="111">
      <c r="B111" s="114"/>
      <c r="C111" s="89"/>
      <c r="D111" s="104"/>
    </row>
    <row r="112">
      <c r="B112" s="114"/>
      <c r="C112" s="89"/>
      <c r="D112" s="104"/>
    </row>
    <row r="113">
      <c r="B113" s="114"/>
      <c r="C113" s="89"/>
      <c r="D113" s="104"/>
    </row>
    <row r="114">
      <c r="B114" s="114"/>
      <c r="C114" s="89"/>
      <c r="D114" s="104"/>
    </row>
    <row r="115">
      <c r="B115" s="114"/>
      <c r="C115" s="89"/>
      <c r="D115" s="104"/>
    </row>
    <row r="116">
      <c r="B116" s="114"/>
      <c r="C116" s="89"/>
      <c r="D116" s="104"/>
    </row>
    <row r="117">
      <c r="B117" s="114"/>
      <c r="C117" s="89"/>
      <c r="D117" s="104"/>
    </row>
    <row r="118">
      <c r="B118" s="114"/>
      <c r="C118" s="89"/>
      <c r="D118" s="104"/>
    </row>
    <row r="119">
      <c r="B119" s="114"/>
      <c r="C119" s="89"/>
      <c r="D119" s="104"/>
    </row>
    <row r="120">
      <c r="B120" s="114"/>
      <c r="C120" s="89"/>
      <c r="D120" s="104"/>
    </row>
    <row r="121">
      <c r="B121" s="114"/>
      <c r="C121" s="89"/>
      <c r="D121" s="104"/>
    </row>
    <row r="122">
      <c r="B122" s="114"/>
      <c r="C122" s="89"/>
      <c r="D122" s="104"/>
    </row>
    <row r="123">
      <c r="B123" s="114"/>
      <c r="C123" s="89"/>
      <c r="D123" s="104"/>
    </row>
    <row r="124">
      <c r="B124" s="114"/>
      <c r="C124" s="89"/>
      <c r="D124" s="104"/>
    </row>
    <row r="125">
      <c r="B125" s="114"/>
      <c r="C125" s="89"/>
      <c r="D125" s="104"/>
    </row>
    <row r="126">
      <c r="B126" s="114"/>
      <c r="C126" s="89"/>
      <c r="D126" s="104"/>
    </row>
    <row r="127">
      <c r="B127" s="114"/>
      <c r="C127" s="89"/>
      <c r="D127" s="104"/>
    </row>
    <row r="128">
      <c r="B128" s="114"/>
      <c r="C128" s="89"/>
      <c r="D128" s="104"/>
    </row>
    <row r="129">
      <c r="B129" s="114"/>
      <c r="C129" s="89"/>
      <c r="D129" s="104"/>
    </row>
    <row r="130">
      <c r="B130" s="114"/>
      <c r="C130" s="89"/>
      <c r="D130" s="104"/>
    </row>
    <row r="131">
      <c r="B131" s="114"/>
      <c r="C131" s="89"/>
      <c r="D131" s="104"/>
    </row>
    <row r="132">
      <c r="B132" s="114"/>
      <c r="C132" s="89"/>
      <c r="D132" s="104"/>
    </row>
    <row r="133">
      <c r="B133" s="114"/>
      <c r="C133" s="89"/>
      <c r="D133" s="104"/>
    </row>
    <row r="134">
      <c r="B134" s="114"/>
      <c r="C134" s="89"/>
      <c r="D134" s="104"/>
    </row>
    <row r="135">
      <c r="B135" s="114"/>
      <c r="C135" s="89"/>
      <c r="D135" s="104"/>
    </row>
    <row r="136">
      <c r="B136" s="114"/>
      <c r="C136" s="89"/>
      <c r="D136" s="104"/>
    </row>
    <row r="137">
      <c r="B137" s="114"/>
      <c r="C137" s="89"/>
      <c r="D137" s="104"/>
    </row>
    <row r="138">
      <c r="B138" s="114"/>
      <c r="C138" s="89"/>
      <c r="D138" s="104"/>
    </row>
    <row r="139">
      <c r="B139" s="114"/>
      <c r="C139" s="89"/>
      <c r="D139" s="104"/>
    </row>
    <row r="140">
      <c r="B140" s="114"/>
      <c r="C140" s="89"/>
      <c r="D140" s="104"/>
    </row>
    <row r="141">
      <c r="B141" s="114"/>
      <c r="C141" s="89"/>
      <c r="D141" s="104"/>
    </row>
    <row r="142">
      <c r="B142" s="114"/>
      <c r="C142" s="89"/>
      <c r="D142" s="104"/>
    </row>
    <row r="143">
      <c r="B143" s="114"/>
      <c r="C143" s="89"/>
      <c r="D143" s="104"/>
    </row>
    <row r="144">
      <c r="B144" s="114"/>
      <c r="C144" s="89"/>
      <c r="D144" s="104"/>
    </row>
    <row r="145">
      <c r="B145" s="114"/>
      <c r="C145" s="89"/>
      <c r="D145" s="104"/>
    </row>
    <row r="146">
      <c r="B146" s="114"/>
      <c r="C146" s="89"/>
      <c r="D146" s="104"/>
    </row>
    <row r="147">
      <c r="B147" s="114"/>
      <c r="C147" s="89"/>
      <c r="D147" s="104"/>
    </row>
    <row r="148">
      <c r="B148" s="114"/>
      <c r="C148" s="89"/>
      <c r="D148" s="104"/>
    </row>
    <row r="149">
      <c r="B149" s="114"/>
      <c r="C149" s="89"/>
      <c r="D149" s="104"/>
    </row>
    <row r="150">
      <c r="B150" s="114"/>
      <c r="C150" s="89"/>
      <c r="D150" s="104"/>
    </row>
    <row r="151">
      <c r="B151" s="114"/>
      <c r="C151" s="89"/>
      <c r="D151" s="104"/>
    </row>
    <row r="152">
      <c r="B152" s="114"/>
      <c r="C152" s="89"/>
      <c r="D152" s="104"/>
    </row>
    <row r="153">
      <c r="B153" s="114"/>
      <c r="C153" s="89"/>
      <c r="D153" s="104"/>
    </row>
    <row r="154">
      <c r="B154" s="114"/>
      <c r="C154" s="89"/>
      <c r="D154" s="104"/>
    </row>
    <row r="155">
      <c r="B155" s="114"/>
      <c r="C155" s="89"/>
      <c r="D155" s="104"/>
    </row>
    <row r="156">
      <c r="B156" s="114"/>
      <c r="C156" s="89"/>
      <c r="D156" s="104"/>
    </row>
    <row r="157">
      <c r="B157" s="114"/>
      <c r="C157" s="89"/>
      <c r="D157" s="104"/>
    </row>
    <row r="158">
      <c r="B158" s="114"/>
      <c r="C158" s="89"/>
      <c r="D158" s="104"/>
    </row>
    <row r="159">
      <c r="B159" s="114"/>
      <c r="C159" s="89"/>
      <c r="D159" s="104"/>
    </row>
    <row r="160">
      <c r="B160" s="114"/>
      <c r="C160" s="89"/>
      <c r="D160" s="104"/>
    </row>
    <row r="161">
      <c r="B161" s="114"/>
      <c r="C161" s="89"/>
      <c r="D161" s="104"/>
    </row>
    <row r="162">
      <c r="B162" s="114"/>
      <c r="C162" s="89"/>
      <c r="D162" s="104"/>
    </row>
    <row r="163">
      <c r="B163" s="114"/>
      <c r="C163" s="89"/>
      <c r="D163" s="104"/>
    </row>
    <row r="164">
      <c r="B164" s="114"/>
      <c r="C164" s="89"/>
      <c r="D164" s="104"/>
    </row>
    <row r="165">
      <c r="B165" s="114"/>
      <c r="C165" s="89"/>
      <c r="D165" s="104"/>
    </row>
    <row r="166">
      <c r="B166" s="114"/>
      <c r="C166" s="89"/>
      <c r="D166" s="104"/>
    </row>
    <row r="167">
      <c r="B167" s="114"/>
      <c r="C167" s="89"/>
      <c r="D167" s="104"/>
    </row>
    <row r="168">
      <c r="B168" s="114"/>
      <c r="C168" s="89"/>
      <c r="D168" s="104"/>
    </row>
    <row r="169">
      <c r="B169" s="114"/>
      <c r="C169" s="89"/>
      <c r="D169" s="104"/>
    </row>
    <row r="170">
      <c r="B170" s="114"/>
      <c r="C170" s="89"/>
      <c r="D170" s="104"/>
    </row>
    <row r="171">
      <c r="B171" s="114"/>
      <c r="C171" s="89"/>
      <c r="D171" s="104"/>
    </row>
    <row r="172">
      <c r="B172" s="114"/>
      <c r="C172" s="89"/>
      <c r="D172" s="104"/>
    </row>
    <row r="173">
      <c r="B173" s="114"/>
      <c r="C173" s="89"/>
      <c r="D173" s="104"/>
    </row>
    <row r="174">
      <c r="B174" s="114"/>
      <c r="C174" s="89"/>
      <c r="D174" s="104"/>
    </row>
    <row r="175">
      <c r="B175" s="114"/>
      <c r="C175" s="89"/>
      <c r="D175" s="104"/>
    </row>
    <row r="176">
      <c r="B176" s="114"/>
      <c r="C176" s="89"/>
      <c r="D176" s="104"/>
    </row>
    <row r="177">
      <c r="B177" s="114"/>
      <c r="C177" s="89"/>
      <c r="D177" s="104"/>
    </row>
    <row r="178">
      <c r="B178" s="114"/>
      <c r="C178" s="89"/>
      <c r="D178" s="104"/>
    </row>
    <row r="179">
      <c r="B179" s="114"/>
      <c r="C179" s="89"/>
      <c r="D179" s="104"/>
    </row>
    <row r="180">
      <c r="B180" s="114"/>
      <c r="C180" s="89"/>
      <c r="D180" s="104"/>
    </row>
    <row r="181">
      <c r="B181" s="114"/>
      <c r="C181" s="89"/>
      <c r="D181" s="104"/>
    </row>
    <row r="182">
      <c r="B182" s="114"/>
      <c r="C182" s="89"/>
      <c r="D182" s="104"/>
    </row>
    <row r="183">
      <c r="B183" s="114"/>
      <c r="C183" s="89"/>
      <c r="D183" s="104"/>
    </row>
    <row r="184">
      <c r="B184" s="114"/>
      <c r="C184" s="89"/>
      <c r="D184" s="104"/>
    </row>
    <row r="185">
      <c r="B185" s="114"/>
      <c r="C185" s="89"/>
      <c r="D185" s="104"/>
    </row>
    <row r="186">
      <c r="B186" s="114"/>
      <c r="C186" s="89"/>
      <c r="D186" s="104"/>
    </row>
    <row r="187">
      <c r="B187" s="114"/>
      <c r="C187" s="89"/>
      <c r="D187" s="104"/>
    </row>
    <row r="188">
      <c r="B188" s="114"/>
      <c r="C188" s="89"/>
      <c r="D188" s="104"/>
    </row>
    <row r="189">
      <c r="B189" s="114"/>
      <c r="C189" s="89"/>
      <c r="D189" s="104"/>
    </row>
    <row r="190">
      <c r="B190" s="114"/>
      <c r="C190" s="89"/>
      <c r="D190" s="104"/>
    </row>
    <row r="191">
      <c r="B191" s="114"/>
      <c r="C191" s="89"/>
      <c r="D191" s="104"/>
    </row>
    <row r="192">
      <c r="B192" s="114"/>
      <c r="C192" s="89"/>
      <c r="D192" s="104"/>
    </row>
    <row r="193">
      <c r="B193" s="114"/>
      <c r="C193" s="89"/>
      <c r="D193" s="104"/>
    </row>
    <row r="194">
      <c r="B194" s="114"/>
      <c r="C194" s="89"/>
      <c r="D194" s="104"/>
    </row>
    <row r="195">
      <c r="B195" s="114"/>
      <c r="C195" s="89"/>
      <c r="D195" s="104"/>
    </row>
    <row r="196">
      <c r="B196" s="114"/>
      <c r="C196" s="89"/>
      <c r="D196" s="104"/>
    </row>
    <row r="197">
      <c r="B197" s="114"/>
      <c r="C197" s="89"/>
      <c r="D197" s="104"/>
    </row>
    <row r="198">
      <c r="B198" s="114"/>
      <c r="C198" s="89"/>
      <c r="D198" s="104"/>
    </row>
    <row r="199">
      <c r="B199" s="114"/>
      <c r="C199" s="89"/>
      <c r="D199" s="104"/>
    </row>
    <row r="200">
      <c r="B200" s="114"/>
      <c r="C200" s="89"/>
      <c r="D200" s="104"/>
    </row>
    <row r="201">
      <c r="B201" s="114"/>
      <c r="C201" s="89"/>
      <c r="D201" s="104"/>
    </row>
    <row r="202">
      <c r="B202" s="114"/>
      <c r="C202" s="89"/>
      <c r="D202" s="104"/>
    </row>
    <row r="203">
      <c r="B203" s="114"/>
      <c r="C203" s="89"/>
      <c r="D203" s="104"/>
    </row>
    <row r="204">
      <c r="B204" s="114"/>
      <c r="C204" s="89"/>
      <c r="D204" s="104"/>
    </row>
    <row r="205">
      <c r="B205" s="114"/>
      <c r="C205" s="89"/>
      <c r="D205" s="104"/>
    </row>
    <row r="206">
      <c r="B206" s="114"/>
      <c r="C206" s="89"/>
      <c r="D206" s="104"/>
    </row>
    <row r="207">
      <c r="B207" s="114"/>
      <c r="C207" s="89"/>
      <c r="D207" s="104"/>
    </row>
    <row r="208">
      <c r="B208" s="114"/>
      <c r="C208" s="89"/>
      <c r="D208" s="104"/>
    </row>
    <row r="209">
      <c r="B209" s="114"/>
      <c r="C209" s="89"/>
      <c r="D209" s="104"/>
    </row>
    <row r="210">
      <c r="B210" s="114"/>
      <c r="C210" s="89"/>
      <c r="D210" s="104"/>
    </row>
    <row r="211">
      <c r="B211" s="114"/>
      <c r="C211" s="89"/>
      <c r="D211" s="104"/>
    </row>
    <row r="212">
      <c r="B212" s="114"/>
      <c r="C212" s="89"/>
      <c r="D212" s="104"/>
    </row>
    <row r="213">
      <c r="B213" s="114"/>
      <c r="C213" s="89"/>
      <c r="D213" s="104"/>
    </row>
    <row r="214">
      <c r="B214" s="114"/>
      <c r="C214" s="89"/>
      <c r="D214" s="104"/>
    </row>
    <row r="215">
      <c r="B215" s="114"/>
      <c r="C215" s="89"/>
      <c r="D215" s="104"/>
    </row>
    <row r="216">
      <c r="B216" s="114"/>
      <c r="C216" s="89"/>
      <c r="D216" s="104"/>
    </row>
    <row r="217">
      <c r="B217" s="114"/>
      <c r="C217" s="89"/>
      <c r="D217" s="104"/>
    </row>
    <row r="218">
      <c r="B218" s="114"/>
      <c r="C218" s="89"/>
      <c r="D218" s="104"/>
    </row>
    <row r="219">
      <c r="B219" s="114"/>
      <c r="C219" s="89"/>
      <c r="D219" s="104"/>
    </row>
    <row r="220">
      <c r="B220" s="114"/>
      <c r="C220" s="89"/>
      <c r="D220" s="104"/>
    </row>
    <row r="221">
      <c r="B221" s="114"/>
      <c r="C221" s="89"/>
      <c r="D221" s="104"/>
    </row>
    <row r="222">
      <c r="B222" s="114"/>
      <c r="C222" s="89"/>
      <c r="D222" s="104"/>
    </row>
    <row r="223">
      <c r="B223" s="114"/>
      <c r="C223" s="89"/>
      <c r="D223" s="104"/>
    </row>
    <row r="224">
      <c r="B224" s="114"/>
      <c r="C224" s="89"/>
      <c r="D224" s="104"/>
    </row>
    <row r="225">
      <c r="B225" s="114"/>
      <c r="C225" s="89"/>
      <c r="D225" s="104"/>
    </row>
    <row r="226">
      <c r="B226" s="114"/>
      <c r="C226" s="89"/>
      <c r="D226" s="104"/>
    </row>
    <row r="227">
      <c r="B227" s="114"/>
      <c r="C227" s="89"/>
      <c r="D227" s="104"/>
    </row>
    <row r="228">
      <c r="B228" s="114"/>
      <c r="C228" s="89"/>
      <c r="D228" s="104"/>
    </row>
    <row r="229">
      <c r="B229" s="114"/>
      <c r="C229" s="89"/>
      <c r="D229" s="104"/>
    </row>
    <row r="230">
      <c r="B230" s="114"/>
      <c r="C230" s="89"/>
      <c r="D230" s="104"/>
    </row>
    <row r="231">
      <c r="B231" s="114"/>
      <c r="C231" s="89"/>
      <c r="D231" s="104"/>
    </row>
    <row r="232">
      <c r="B232" s="114"/>
      <c r="C232" s="89"/>
      <c r="D232" s="104"/>
    </row>
    <row r="233">
      <c r="B233" s="114"/>
      <c r="C233" s="89"/>
      <c r="D233" s="104"/>
    </row>
    <row r="234">
      <c r="B234" s="114"/>
      <c r="C234" s="89"/>
      <c r="D234" s="104"/>
    </row>
    <row r="235">
      <c r="B235" s="114"/>
      <c r="C235" s="89"/>
      <c r="D235" s="104"/>
    </row>
    <row r="236">
      <c r="B236" s="114"/>
      <c r="C236" s="89"/>
      <c r="D236" s="104"/>
    </row>
    <row r="237">
      <c r="B237" s="114"/>
      <c r="C237" s="89"/>
      <c r="D237" s="104"/>
    </row>
    <row r="238">
      <c r="B238" s="114"/>
      <c r="C238" s="89"/>
      <c r="D238" s="104"/>
    </row>
    <row r="239">
      <c r="B239" s="114"/>
      <c r="C239" s="89"/>
      <c r="D239" s="104"/>
    </row>
    <row r="240">
      <c r="B240" s="114"/>
      <c r="C240" s="89"/>
      <c r="D240" s="104"/>
    </row>
    <row r="241">
      <c r="B241" s="114"/>
      <c r="C241" s="89"/>
      <c r="D241" s="104"/>
    </row>
    <row r="242">
      <c r="B242" s="114"/>
      <c r="C242" s="89"/>
      <c r="D242" s="104"/>
    </row>
    <row r="243">
      <c r="B243" s="114"/>
      <c r="C243" s="89"/>
      <c r="D243" s="104"/>
    </row>
    <row r="244">
      <c r="B244" s="114"/>
      <c r="C244" s="89"/>
      <c r="D244" s="104"/>
    </row>
    <row r="245">
      <c r="B245" s="114"/>
      <c r="C245" s="89"/>
      <c r="D245" s="104"/>
    </row>
    <row r="246">
      <c r="B246" s="114"/>
      <c r="C246" s="89"/>
      <c r="D246" s="104"/>
    </row>
    <row r="247">
      <c r="B247" s="114"/>
      <c r="C247" s="89"/>
      <c r="D247" s="104"/>
    </row>
    <row r="248">
      <c r="B248" s="114"/>
      <c r="C248" s="89"/>
      <c r="D248" s="104"/>
    </row>
    <row r="249">
      <c r="B249" s="114"/>
      <c r="C249" s="89"/>
      <c r="D249" s="104"/>
    </row>
    <row r="250">
      <c r="B250" s="114"/>
      <c r="C250" s="89"/>
      <c r="D250" s="104"/>
    </row>
    <row r="251">
      <c r="B251" s="114"/>
      <c r="C251" s="89"/>
      <c r="D251" s="104"/>
    </row>
    <row r="252">
      <c r="B252" s="114"/>
      <c r="C252" s="89"/>
      <c r="D252" s="104"/>
    </row>
    <row r="253">
      <c r="B253" s="114"/>
      <c r="C253" s="89"/>
      <c r="D253" s="104"/>
    </row>
    <row r="254">
      <c r="B254" s="114"/>
      <c r="C254" s="89"/>
      <c r="D254" s="104"/>
    </row>
    <row r="255">
      <c r="B255" s="114"/>
      <c r="C255" s="89"/>
      <c r="D255" s="104"/>
    </row>
    <row r="256">
      <c r="B256" s="114"/>
      <c r="C256" s="89"/>
      <c r="D256" s="104"/>
    </row>
    <row r="257">
      <c r="B257" s="114"/>
      <c r="C257" s="89"/>
      <c r="D257" s="104"/>
    </row>
    <row r="258">
      <c r="B258" s="114"/>
      <c r="C258" s="89"/>
      <c r="D258" s="104"/>
    </row>
    <row r="259">
      <c r="B259" s="114"/>
      <c r="C259" s="89"/>
      <c r="D259" s="104"/>
    </row>
    <row r="260">
      <c r="B260" s="114"/>
      <c r="C260" s="89"/>
      <c r="D260" s="104"/>
    </row>
    <row r="261">
      <c r="B261" s="114"/>
      <c r="C261" s="89"/>
      <c r="D261" s="104"/>
    </row>
    <row r="262">
      <c r="B262" s="114"/>
      <c r="C262" s="89"/>
      <c r="D262" s="104"/>
    </row>
    <row r="263">
      <c r="B263" s="114"/>
      <c r="C263" s="89"/>
      <c r="D263" s="104"/>
    </row>
    <row r="264">
      <c r="B264" s="114"/>
      <c r="C264" s="89"/>
      <c r="D264" s="104"/>
    </row>
    <row r="265">
      <c r="B265" s="114"/>
      <c r="C265" s="89"/>
      <c r="D265" s="104"/>
    </row>
    <row r="266">
      <c r="B266" s="114"/>
      <c r="C266" s="89"/>
      <c r="D266" s="104"/>
    </row>
    <row r="267">
      <c r="B267" s="114"/>
      <c r="C267" s="89"/>
      <c r="D267" s="104"/>
    </row>
    <row r="268">
      <c r="B268" s="114"/>
      <c r="C268" s="89"/>
      <c r="D268" s="104"/>
    </row>
    <row r="269">
      <c r="B269" s="114"/>
      <c r="C269" s="89"/>
      <c r="D269" s="104"/>
    </row>
    <row r="270">
      <c r="B270" s="114"/>
      <c r="C270" s="89"/>
      <c r="D270" s="104"/>
    </row>
    <row r="271">
      <c r="B271" s="114"/>
      <c r="C271" s="89"/>
      <c r="D271" s="104"/>
    </row>
    <row r="272">
      <c r="B272" s="114"/>
      <c r="C272" s="89"/>
      <c r="D272" s="104"/>
    </row>
    <row r="273">
      <c r="B273" s="114"/>
      <c r="C273" s="89"/>
      <c r="D273" s="104"/>
    </row>
    <row r="274">
      <c r="B274" s="114"/>
      <c r="C274" s="89"/>
      <c r="D274" s="104"/>
    </row>
    <row r="275">
      <c r="B275" s="114"/>
      <c r="C275" s="89"/>
      <c r="D275" s="104"/>
    </row>
    <row r="276">
      <c r="B276" s="114"/>
      <c r="C276" s="89"/>
      <c r="D276" s="104"/>
    </row>
    <row r="277">
      <c r="B277" s="114"/>
      <c r="C277" s="89"/>
      <c r="D277" s="104"/>
    </row>
    <row r="278">
      <c r="B278" s="114"/>
      <c r="C278" s="89"/>
      <c r="D278" s="104"/>
    </row>
    <row r="279">
      <c r="B279" s="114"/>
      <c r="C279" s="89"/>
      <c r="D279" s="104"/>
    </row>
    <row r="280">
      <c r="B280" s="114"/>
      <c r="C280" s="89"/>
      <c r="D280" s="104"/>
    </row>
    <row r="281">
      <c r="B281" s="114"/>
      <c r="C281" s="89"/>
      <c r="D281" s="104"/>
    </row>
    <row r="282">
      <c r="B282" s="114"/>
      <c r="C282" s="89"/>
      <c r="D282" s="104"/>
    </row>
    <row r="283">
      <c r="B283" s="114"/>
      <c r="C283" s="89"/>
      <c r="D283" s="104"/>
    </row>
    <row r="284">
      <c r="B284" s="114"/>
      <c r="C284" s="89"/>
      <c r="D284" s="104"/>
    </row>
    <row r="285">
      <c r="B285" s="114"/>
      <c r="C285" s="89"/>
      <c r="D285" s="104"/>
    </row>
    <row r="286">
      <c r="B286" s="114"/>
      <c r="C286" s="89"/>
      <c r="D286" s="104"/>
    </row>
    <row r="287">
      <c r="B287" s="114"/>
      <c r="C287" s="89"/>
      <c r="D287" s="104"/>
    </row>
    <row r="288">
      <c r="B288" s="114"/>
      <c r="C288" s="89"/>
      <c r="D288" s="104"/>
    </row>
    <row r="289">
      <c r="B289" s="114"/>
      <c r="C289" s="89"/>
      <c r="D289" s="104"/>
    </row>
    <row r="290">
      <c r="B290" s="114"/>
      <c r="C290" s="89"/>
      <c r="D290" s="104"/>
    </row>
    <row r="291">
      <c r="B291" s="114"/>
      <c r="C291" s="89"/>
      <c r="D291" s="104"/>
    </row>
    <row r="292">
      <c r="B292" s="114"/>
      <c r="C292" s="89"/>
      <c r="D292" s="104"/>
    </row>
    <row r="293">
      <c r="B293" s="114"/>
      <c r="C293" s="89"/>
      <c r="D293" s="104"/>
    </row>
    <row r="294">
      <c r="B294" s="114"/>
      <c r="C294" s="89"/>
      <c r="D294" s="104"/>
    </row>
    <row r="295">
      <c r="B295" s="114"/>
      <c r="C295" s="89"/>
      <c r="D295" s="104"/>
    </row>
    <row r="296">
      <c r="B296" s="114"/>
      <c r="C296" s="89"/>
      <c r="D296" s="104"/>
    </row>
    <row r="297">
      <c r="B297" s="114"/>
      <c r="C297" s="89"/>
      <c r="D297" s="104"/>
    </row>
    <row r="298">
      <c r="B298" s="114"/>
      <c r="C298" s="89"/>
      <c r="D298" s="104"/>
    </row>
    <row r="299">
      <c r="B299" s="114"/>
      <c r="C299" s="89"/>
      <c r="D299" s="104"/>
    </row>
    <row r="300">
      <c r="B300" s="114"/>
      <c r="C300" s="89"/>
      <c r="D300" s="104"/>
    </row>
    <row r="301">
      <c r="B301" s="114"/>
      <c r="C301" s="89"/>
      <c r="D301" s="104"/>
    </row>
    <row r="302">
      <c r="B302" s="114"/>
      <c r="C302" s="89"/>
      <c r="D302" s="104"/>
    </row>
    <row r="303">
      <c r="B303" s="114"/>
      <c r="C303" s="89"/>
      <c r="D303" s="104"/>
    </row>
    <row r="304">
      <c r="B304" s="114"/>
      <c r="C304" s="89"/>
      <c r="D304" s="104"/>
    </row>
    <row r="305">
      <c r="B305" s="114"/>
      <c r="C305" s="89"/>
      <c r="D305" s="104"/>
    </row>
    <row r="306">
      <c r="B306" s="114"/>
      <c r="C306" s="89"/>
      <c r="D306" s="104"/>
    </row>
    <row r="307">
      <c r="B307" s="114"/>
      <c r="C307" s="89"/>
      <c r="D307" s="104"/>
    </row>
    <row r="308">
      <c r="B308" s="114"/>
      <c r="C308" s="89"/>
      <c r="D308" s="104"/>
    </row>
    <row r="309">
      <c r="B309" s="114"/>
      <c r="C309" s="89"/>
      <c r="D309" s="104"/>
    </row>
    <row r="310">
      <c r="B310" s="114"/>
      <c r="C310" s="89"/>
      <c r="D310" s="104"/>
    </row>
    <row r="311">
      <c r="B311" s="114"/>
      <c r="C311" s="89"/>
      <c r="D311" s="104"/>
    </row>
    <row r="312">
      <c r="B312" s="114"/>
      <c r="C312" s="89"/>
      <c r="D312" s="104"/>
    </row>
    <row r="313">
      <c r="B313" s="114"/>
      <c r="C313" s="89"/>
      <c r="D313" s="104"/>
    </row>
    <row r="314">
      <c r="B314" s="114"/>
      <c r="C314" s="89"/>
      <c r="D314" s="104"/>
    </row>
    <row r="315">
      <c r="B315" s="114"/>
      <c r="C315" s="89"/>
      <c r="D315" s="104"/>
    </row>
    <row r="316">
      <c r="B316" s="114"/>
      <c r="C316" s="89"/>
      <c r="D316" s="104"/>
    </row>
    <row r="317">
      <c r="B317" s="114"/>
      <c r="C317" s="89"/>
      <c r="D317" s="104"/>
    </row>
    <row r="318">
      <c r="B318" s="114"/>
      <c r="C318" s="89"/>
      <c r="D318" s="104"/>
    </row>
    <row r="319">
      <c r="B319" s="114"/>
      <c r="C319" s="89"/>
      <c r="D319" s="104"/>
    </row>
    <row r="320">
      <c r="B320" s="114"/>
      <c r="C320" s="89"/>
      <c r="D320" s="104"/>
    </row>
    <row r="321">
      <c r="B321" s="114"/>
      <c r="C321" s="89"/>
      <c r="D321" s="104"/>
    </row>
    <row r="322">
      <c r="B322" s="114"/>
      <c r="C322" s="89"/>
      <c r="D322" s="104"/>
    </row>
    <row r="323">
      <c r="B323" s="114"/>
      <c r="C323" s="89"/>
      <c r="D323" s="104"/>
    </row>
    <row r="324">
      <c r="B324" s="114"/>
      <c r="C324" s="89"/>
      <c r="D324" s="104"/>
    </row>
    <row r="325">
      <c r="B325" s="114"/>
      <c r="C325" s="89"/>
      <c r="D325" s="104"/>
    </row>
    <row r="326">
      <c r="B326" s="114"/>
      <c r="C326" s="89"/>
      <c r="D326" s="104"/>
    </row>
    <row r="327">
      <c r="B327" s="114"/>
      <c r="C327" s="89"/>
      <c r="D327" s="104"/>
    </row>
    <row r="328">
      <c r="B328" s="114"/>
      <c r="C328" s="89"/>
      <c r="D328" s="104"/>
    </row>
    <row r="329">
      <c r="B329" s="114"/>
      <c r="C329" s="89"/>
      <c r="D329" s="104"/>
    </row>
    <row r="330">
      <c r="B330" s="114"/>
      <c r="C330" s="89"/>
      <c r="D330" s="104"/>
    </row>
    <row r="331">
      <c r="B331" s="114"/>
      <c r="C331" s="89"/>
      <c r="D331" s="104"/>
    </row>
    <row r="332">
      <c r="B332" s="114"/>
      <c r="C332" s="89"/>
      <c r="D332" s="104"/>
    </row>
    <row r="333">
      <c r="B333" s="114"/>
      <c r="C333" s="89"/>
      <c r="D333" s="104"/>
    </row>
    <row r="334">
      <c r="B334" s="114"/>
      <c r="C334" s="89"/>
      <c r="D334" s="104"/>
    </row>
    <row r="335">
      <c r="B335" s="114"/>
      <c r="C335" s="89"/>
      <c r="D335" s="104"/>
    </row>
    <row r="336">
      <c r="B336" s="114"/>
      <c r="C336" s="89"/>
      <c r="D336" s="104"/>
    </row>
    <row r="337">
      <c r="B337" s="114"/>
      <c r="C337" s="89"/>
      <c r="D337" s="104"/>
    </row>
    <row r="338">
      <c r="B338" s="114"/>
      <c r="C338" s="89"/>
      <c r="D338" s="104"/>
    </row>
    <row r="339">
      <c r="B339" s="114"/>
      <c r="C339" s="89"/>
      <c r="D339" s="104"/>
    </row>
    <row r="340">
      <c r="B340" s="114"/>
      <c r="C340" s="89"/>
      <c r="D340" s="104"/>
    </row>
    <row r="341">
      <c r="B341" s="114"/>
      <c r="C341" s="89"/>
      <c r="D341" s="104"/>
    </row>
    <row r="342">
      <c r="B342" s="114"/>
      <c r="C342" s="89"/>
      <c r="D342" s="104"/>
    </row>
    <row r="343">
      <c r="B343" s="114"/>
      <c r="C343" s="89"/>
      <c r="D343" s="104"/>
    </row>
    <row r="344">
      <c r="B344" s="114"/>
      <c r="C344" s="89"/>
      <c r="D344" s="104"/>
    </row>
    <row r="345">
      <c r="B345" s="114"/>
      <c r="C345" s="89"/>
      <c r="D345" s="104"/>
    </row>
    <row r="346">
      <c r="B346" s="114"/>
      <c r="C346" s="89"/>
      <c r="D346" s="104"/>
    </row>
    <row r="347">
      <c r="B347" s="114"/>
      <c r="C347" s="89"/>
      <c r="D347" s="104"/>
    </row>
    <row r="348">
      <c r="B348" s="114"/>
      <c r="C348" s="89"/>
      <c r="D348" s="104"/>
    </row>
    <row r="349">
      <c r="B349" s="114"/>
      <c r="C349" s="89"/>
      <c r="D349" s="104"/>
    </row>
    <row r="350">
      <c r="B350" s="114"/>
      <c r="C350" s="89"/>
      <c r="D350" s="104"/>
    </row>
    <row r="351">
      <c r="B351" s="114"/>
      <c r="C351" s="89"/>
      <c r="D351" s="104"/>
    </row>
    <row r="352">
      <c r="B352" s="114"/>
      <c r="C352" s="89"/>
      <c r="D352" s="104"/>
    </row>
    <row r="353">
      <c r="B353" s="114"/>
      <c r="C353" s="89"/>
      <c r="D353" s="104"/>
    </row>
    <row r="354">
      <c r="B354" s="114"/>
      <c r="C354" s="89"/>
      <c r="D354" s="104"/>
    </row>
    <row r="355">
      <c r="B355" s="114"/>
      <c r="C355" s="89"/>
      <c r="D355" s="104"/>
    </row>
    <row r="356">
      <c r="B356" s="114"/>
      <c r="C356" s="89"/>
      <c r="D356" s="104"/>
    </row>
    <row r="357">
      <c r="B357" s="114"/>
      <c r="C357" s="89"/>
      <c r="D357" s="104"/>
    </row>
    <row r="358">
      <c r="B358" s="114"/>
      <c r="C358" s="89"/>
      <c r="D358" s="104"/>
    </row>
    <row r="359">
      <c r="B359" s="114"/>
      <c r="C359" s="89"/>
      <c r="D359" s="104"/>
    </row>
    <row r="360">
      <c r="B360" s="114"/>
      <c r="C360" s="89"/>
      <c r="D360" s="104"/>
    </row>
    <row r="361">
      <c r="B361" s="114"/>
      <c r="C361" s="89"/>
      <c r="D361" s="104"/>
    </row>
    <row r="362">
      <c r="B362" s="114"/>
      <c r="C362" s="89"/>
      <c r="D362" s="104"/>
    </row>
    <row r="363">
      <c r="B363" s="114"/>
      <c r="C363" s="89"/>
      <c r="D363" s="104"/>
    </row>
    <row r="364">
      <c r="B364" s="114"/>
      <c r="C364" s="89"/>
      <c r="D364" s="104"/>
    </row>
    <row r="365">
      <c r="B365" s="114"/>
      <c r="C365" s="89"/>
      <c r="D365" s="104"/>
    </row>
    <row r="366">
      <c r="B366" s="114"/>
      <c r="C366" s="89"/>
      <c r="D366" s="104"/>
    </row>
    <row r="367">
      <c r="B367" s="114"/>
      <c r="C367" s="89"/>
      <c r="D367" s="104"/>
    </row>
    <row r="368">
      <c r="B368" s="114"/>
      <c r="C368" s="89"/>
      <c r="D368" s="104"/>
    </row>
    <row r="369">
      <c r="B369" s="114"/>
      <c r="C369" s="89"/>
      <c r="D369" s="104"/>
    </row>
    <row r="370">
      <c r="B370" s="114"/>
      <c r="C370" s="89"/>
      <c r="D370" s="104"/>
    </row>
    <row r="371">
      <c r="B371" s="114"/>
      <c r="C371" s="89"/>
      <c r="D371" s="104"/>
    </row>
    <row r="372">
      <c r="B372" s="114"/>
      <c r="C372" s="89"/>
      <c r="D372" s="104"/>
    </row>
    <row r="373">
      <c r="B373" s="114"/>
      <c r="C373" s="89"/>
      <c r="D373" s="104"/>
    </row>
    <row r="374">
      <c r="B374" s="114"/>
      <c r="C374" s="89"/>
      <c r="D374" s="104"/>
    </row>
    <row r="375">
      <c r="B375" s="114"/>
      <c r="C375" s="89"/>
      <c r="D375" s="104"/>
    </row>
    <row r="376">
      <c r="B376" s="114"/>
      <c r="C376" s="89"/>
      <c r="D376" s="104"/>
    </row>
    <row r="377">
      <c r="B377" s="114"/>
      <c r="C377" s="89"/>
      <c r="D377" s="104"/>
    </row>
    <row r="378">
      <c r="B378" s="114"/>
      <c r="C378" s="89"/>
      <c r="D378" s="104"/>
    </row>
    <row r="379">
      <c r="B379" s="114"/>
      <c r="C379" s="89"/>
      <c r="D379" s="104"/>
    </row>
    <row r="380">
      <c r="B380" s="114"/>
      <c r="C380" s="89"/>
      <c r="D380" s="104"/>
    </row>
    <row r="381">
      <c r="B381" s="114"/>
      <c r="C381" s="89"/>
      <c r="D381" s="104"/>
    </row>
    <row r="382">
      <c r="B382" s="114"/>
      <c r="C382" s="89"/>
      <c r="D382" s="104"/>
    </row>
    <row r="383">
      <c r="B383" s="114"/>
      <c r="C383" s="89"/>
      <c r="D383" s="104"/>
    </row>
    <row r="384">
      <c r="B384" s="114"/>
      <c r="C384" s="89"/>
      <c r="D384" s="104"/>
    </row>
    <row r="385">
      <c r="B385" s="114"/>
      <c r="C385" s="89"/>
      <c r="D385" s="104"/>
    </row>
    <row r="386">
      <c r="B386" s="114"/>
      <c r="C386" s="89"/>
      <c r="D386" s="104"/>
    </row>
    <row r="387">
      <c r="B387" s="114"/>
      <c r="C387" s="89"/>
      <c r="D387" s="104"/>
    </row>
    <row r="388">
      <c r="B388" s="114"/>
      <c r="C388" s="89"/>
      <c r="D388" s="104"/>
    </row>
    <row r="389">
      <c r="B389" s="114"/>
      <c r="C389" s="89"/>
      <c r="D389" s="104"/>
    </row>
    <row r="390">
      <c r="B390" s="114"/>
      <c r="C390" s="89"/>
      <c r="D390" s="104"/>
    </row>
    <row r="391">
      <c r="B391" s="114"/>
      <c r="C391" s="89"/>
      <c r="D391" s="104"/>
    </row>
    <row r="392">
      <c r="B392" s="114"/>
      <c r="C392" s="89"/>
      <c r="D392" s="104"/>
    </row>
    <row r="393">
      <c r="B393" s="114"/>
      <c r="C393" s="89"/>
      <c r="D393" s="104"/>
    </row>
    <row r="394">
      <c r="B394" s="114"/>
      <c r="C394" s="89"/>
      <c r="D394" s="104"/>
    </row>
    <row r="395">
      <c r="B395" s="114"/>
      <c r="C395" s="89"/>
      <c r="D395" s="104"/>
    </row>
    <row r="396">
      <c r="B396" s="114"/>
      <c r="C396" s="89"/>
      <c r="D396" s="104"/>
    </row>
    <row r="397">
      <c r="B397" s="114"/>
      <c r="C397" s="89"/>
      <c r="D397" s="104"/>
    </row>
    <row r="398">
      <c r="B398" s="114"/>
      <c r="C398" s="89"/>
      <c r="D398" s="104"/>
    </row>
    <row r="399">
      <c r="B399" s="114"/>
      <c r="C399" s="89"/>
      <c r="D399" s="104"/>
    </row>
    <row r="400">
      <c r="B400" s="114"/>
      <c r="C400" s="89"/>
      <c r="D400" s="104"/>
    </row>
    <row r="401">
      <c r="B401" s="114"/>
      <c r="C401" s="89"/>
      <c r="D401" s="104"/>
    </row>
    <row r="402">
      <c r="B402" s="114"/>
      <c r="C402" s="89"/>
      <c r="D402" s="104"/>
    </row>
    <row r="403">
      <c r="B403" s="114"/>
      <c r="C403" s="89"/>
      <c r="D403" s="104"/>
    </row>
    <row r="404">
      <c r="B404" s="114"/>
      <c r="C404" s="89"/>
      <c r="D404" s="104"/>
    </row>
    <row r="405">
      <c r="B405" s="114"/>
      <c r="C405" s="89"/>
      <c r="D405" s="104"/>
    </row>
    <row r="406">
      <c r="B406" s="114"/>
      <c r="C406" s="89"/>
      <c r="D406" s="104"/>
    </row>
    <row r="407">
      <c r="B407" s="114"/>
      <c r="C407" s="89"/>
      <c r="D407" s="104"/>
    </row>
    <row r="408">
      <c r="B408" s="114"/>
      <c r="C408" s="89"/>
      <c r="D408" s="104"/>
    </row>
    <row r="409">
      <c r="B409" s="114"/>
      <c r="C409" s="89"/>
      <c r="D409" s="104"/>
    </row>
    <row r="410">
      <c r="B410" s="114"/>
      <c r="C410" s="89"/>
      <c r="D410" s="104"/>
    </row>
    <row r="411">
      <c r="B411" s="114"/>
      <c r="C411" s="89"/>
      <c r="D411" s="104"/>
    </row>
    <row r="412">
      <c r="B412" s="114"/>
      <c r="C412" s="89"/>
      <c r="D412" s="104"/>
    </row>
    <row r="413">
      <c r="B413" s="114"/>
      <c r="C413" s="89"/>
      <c r="D413" s="104"/>
    </row>
    <row r="414">
      <c r="B414" s="114"/>
      <c r="C414" s="89"/>
      <c r="D414" s="104"/>
    </row>
    <row r="415">
      <c r="B415" s="114"/>
      <c r="C415" s="89"/>
      <c r="D415" s="104"/>
    </row>
    <row r="416">
      <c r="B416" s="114"/>
      <c r="C416" s="89"/>
      <c r="D416" s="104"/>
    </row>
    <row r="417">
      <c r="B417" s="114"/>
      <c r="C417" s="89"/>
      <c r="D417" s="104"/>
    </row>
    <row r="418">
      <c r="B418" s="114"/>
      <c r="C418" s="89"/>
      <c r="D418" s="104"/>
    </row>
    <row r="419">
      <c r="B419" s="114"/>
      <c r="C419" s="89"/>
      <c r="D419" s="104"/>
    </row>
    <row r="420">
      <c r="B420" s="114"/>
      <c r="C420" s="89"/>
      <c r="D420" s="104"/>
    </row>
    <row r="421">
      <c r="B421" s="114"/>
      <c r="C421" s="89"/>
      <c r="D421" s="104"/>
    </row>
    <row r="422">
      <c r="B422" s="114"/>
      <c r="C422" s="89"/>
      <c r="D422" s="104"/>
    </row>
    <row r="423">
      <c r="B423" s="114"/>
      <c r="C423" s="89"/>
      <c r="D423" s="104"/>
    </row>
    <row r="424">
      <c r="B424" s="114"/>
      <c r="C424" s="89"/>
      <c r="D424" s="104"/>
    </row>
    <row r="425">
      <c r="B425" s="114"/>
      <c r="C425" s="89"/>
      <c r="D425" s="104"/>
    </row>
    <row r="426">
      <c r="B426" s="114"/>
      <c r="C426" s="89"/>
      <c r="D426" s="104"/>
    </row>
    <row r="427">
      <c r="B427" s="114"/>
      <c r="C427" s="89"/>
      <c r="D427" s="104"/>
    </row>
    <row r="428">
      <c r="B428" s="114"/>
      <c r="C428" s="89"/>
      <c r="D428" s="104"/>
    </row>
    <row r="429">
      <c r="B429" s="114"/>
      <c r="C429" s="89"/>
      <c r="D429" s="104"/>
    </row>
    <row r="430">
      <c r="B430" s="114"/>
      <c r="C430" s="89"/>
      <c r="D430" s="104"/>
    </row>
    <row r="431">
      <c r="B431" s="114"/>
      <c r="C431" s="89"/>
      <c r="D431" s="104"/>
    </row>
    <row r="432">
      <c r="B432" s="114"/>
      <c r="C432" s="89"/>
      <c r="D432" s="104"/>
    </row>
    <row r="433">
      <c r="B433" s="114"/>
      <c r="C433" s="89"/>
      <c r="D433" s="104"/>
    </row>
    <row r="434">
      <c r="B434" s="114"/>
      <c r="C434" s="89"/>
      <c r="D434" s="104"/>
    </row>
    <row r="435">
      <c r="B435" s="114"/>
      <c r="C435" s="89"/>
      <c r="D435" s="104"/>
    </row>
    <row r="436">
      <c r="B436" s="114"/>
      <c r="C436" s="89"/>
      <c r="D436" s="104"/>
    </row>
    <row r="437">
      <c r="B437" s="114"/>
      <c r="C437" s="89"/>
      <c r="D437" s="104"/>
    </row>
    <row r="438">
      <c r="B438" s="114"/>
      <c r="C438" s="89"/>
      <c r="D438" s="104"/>
    </row>
    <row r="439">
      <c r="B439" s="114"/>
      <c r="C439" s="89"/>
      <c r="D439" s="104"/>
    </row>
    <row r="440">
      <c r="B440" s="114"/>
      <c r="C440" s="89"/>
      <c r="D440" s="104"/>
    </row>
    <row r="441">
      <c r="B441" s="114"/>
      <c r="C441" s="89"/>
      <c r="D441" s="104"/>
    </row>
    <row r="442">
      <c r="B442" s="114"/>
      <c r="C442" s="89"/>
      <c r="D442" s="104"/>
    </row>
    <row r="443">
      <c r="B443" s="114"/>
      <c r="C443" s="89"/>
      <c r="D443" s="104"/>
    </row>
    <row r="444">
      <c r="B444" s="114"/>
      <c r="C444" s="89"/>
      <c r="D444" s="104"/>
    </row>
    <row r="445">
      <c r="B445" s="114"/>
      <c r="C445" s="89"/>
      <c r="D445" s="104"/>
    </row>
    <row r="446">
      <c r="B446" s="114"/>
      <c r="C446" s="89"/>
      <c r="D446" s="104"/>
    </row>
    <row r="447">
      <c r="B447" s="114"/>
      <c r="C447" s="89"/>
      <c r="D447" s="104"/>
    </row>
    <row r="448">
      <c r="B448" s="114"/>
      <c r="C448" s="89"/>
      <c r="D448" s="104"/>
    </row>
    <row r="449">
      <c r="B449" s="114"/>
      <c r="C449" s="89"/>
      <c r="D449" s="104"/>
    </row>
    <row r="450">
      <c r="B450" s="114"/>
      <c r="C450" s="89"/>
      <c r="D450" s="104"/>
    </row>
    <row r="451">
      <c r="B451" s="114"/>
      <c r="C451" s="89"/>
      <c r="D451" s="104"/>
    </row>
    <row r="452">
      <c r="B452" s="114"/>
      <c r="C452" s="89"/>
      <c r="D452" s="104"/>
    </row>
    <row r="453">
      <c r="B453" s="114"/>
      <c r="C453" s="89"/>
      <c r="D453" s="104"/>
    </row>
    <row r="454">
      <c r="B454" s="114"/>
      <c r="C454" s="89"/>
      <c r="D454" s="104"/>
    </row>
    <row r="455">
      <c r="B455" s="114"/>
      <c r="C455" s="89"/>
      <c r="D455" s="104"/>
    </row>
    <row r="456">
      <c r="B456" s="114"/>
      <c r="C456" s="89"/>
      <c r="D456" s="104"/>
    </row>
    <row r="457">
      <c r="B457" s="114"/>
      <c r="C457" s="89"/>
      <c r="D457" s="104"/>
    </row>
    <row r="458">
      <c r="B458" s="114"/>
      <c r="C458" s="89"/>
      <c r="D458" s="104"/>
    </row>
    <row r="459">
      <c r="B459" s="114"/>
      <c r="C459" s="89"/>
      <c r="D459" s="104"/>
    </row>
    <row r="460">
      <c r="B460" s="114"/>
      <c r="C460" s="89"/>
      <c r="D460" s="104"/>
    </row>
    <row r="461">
      <c r="B461" s="114"/>
      <c r="C461" s="89"/>
      <c r="D461" s="104"/>
    </row>
    <row r="462">
      <c r="B462" s="114"/>
      <c r="C462" s="89"/>
      <c r="D462" s="104"/>
    </row>
    <row r="463">
      <c r="B463" s="114"/>
      <c r="C463" s="89"/>
      <c r="D463" s="104"/>
    </row>
    <row r="464">
      <c r="B464" s="114"/>
      <c r="C464" s="89"/>
      <c r="D464" s="104"/>
    </row>
    <row r="465">
      <c r="B465" s="114"/>
      <c r="C465" s="89"/>
      <c r="D465" s="104"/>
    </row>
    <row r="466">
      <c r="B466" s="114"/>
      <c r="C466" s="89"/>
      <c r="D466" s="104"/>
    </row>
    <row r="467">
      <c r="B467" s="114"/>
      <c r="C467" s="89"/>
      <c r="D467" s="104"/>
    </row>
    <row r="468">
      <c r="B468" s="114"/>
      <c r="C468" s="89"/>
      <c r="D468" s="104"/>
    </row>
    <row r="469">
      <c r="B469" s="114"/>
      <c r="C469" s="89"/>
      <c r="D469" s="104"/>
    </row>
    <row r="470">
      <c r="B470" s="114"/>
      <c r="C470" s="89"/>
      <c r="D470" s="104"/>
    </row>
    <row r="471">
      <c r="B471" s="114"/>
      <c r="C471" s="89"/>
      <c r="D471" s="104"/>
    </row>
    <row r="472">
      <c r="B472" s="114"/>
      <c r="C472" s="89"/>
      <c r="D472" s="104"/>
    </row>
    <row r="473">
      <c r="B473" s="114"/>
      <c r="C473" s="89"/>
      <c r="D473" s="104"/>
    </row>
    <row r="474">
      <c r="B474" s="114"/>
      <c r="C474" s="89"/>
      <c r="D474" s="104"/>
    </row>
    <row r="475">
      <c r="B475" s="114"/>
      <c r="C475" s="89"/>
      <c r="D475" s="104"/>
    </row>
    <row r="476">
      <c r="B476" s="114"/>
      <c r="C476" s="89"/>
      <c r="D476" s="104"/>
    </row>
    <row r="477">
      <c r="B477" s="114"/>
      <c r="C477" s="89"/>
      <c r="D477" s="104"/>
    </row>
    <row r="478">
      <c r="B478" s="114"/>
      <c r="C478" s="89"/>
      <c r="D478" s="104"/>
    </row>
    <row r="479">
      <c r="B479" s="114"/>
      <c r="C479" s="89"/>
      <c r="D479" s="104"/>
    </row>
    <row r="480">
      <c r="B480" s="114"/>
      <c r="C480" s="89"/>
      <c r="D480" s="104"/>
    </row>
    <row r="481">
      <c r="B481" s="114"/>
      <c r="C481" s="89"/>
      <c r="D481" s="104"/>
    </row>
    <row r="482">
      <c r="B482" s="114"/>
      <c r="C482" s="89"/>
      <c r="D482" s="104"/>
    </row>
    <row r="483">
      <c r="B483" s="114"/>
      <c r="C483" s="89"/>
      <c r="D483" s="104"/>
    </row>
    <row r="484">
      <c r="B484" s="114"/>
      <c r="C484" s="89"/>
      <c r="D484" s="104"/>
    </row>
    <row r="485">
      <c r="B485" s="114"/>
      <c r="C485" s="89"/>
      <c r="D485" s="104"/>
    </row>
    <row r="486">
      <c r="B486" s="114"/>
      <c r="C486" s="89"/>
      <c r="D486" s="104"/>
    </row>
    <row r="487">
      <c r="B487" s="114"/>
      <c r="C487" s="89"/>
      <c r="D487" s="104"/>
    </row>
    <row r="488">
      <c r="B488" s="114"/>
      <c r="C488" s="89"/>
      <c r="D488" s="104"/>
    </row>
    <row r="489">
      <c r="B489" s="114"/>
      <c r="C489" s="89"/>
      <c r="D489" s="104"/>
    </row>
    <row r="490">
      <c r="B490" s="114"/>
      <c r="C490" s="89"/>
      <c r="D490" s="104"/>
    </row>
    <row r="491">
      <c r="B491" s="114"/>
      <c r="C491" s="89"/>
      <c r="D491" s="104"/>
    </row>
    <row r="492">
      <c r="B492" s="114"/>
      <c r="C492" s="89"/>
      <c r="D492" s="104"/>
    </row>
    <row r="493">
      <c r="B493" s="114"/>
      <c r="C493" s="89"/>
      <c r="D493" s="104"/>
    </row>
    <row r="494">
      <c r="B494" s="114"/>
      <c r="C494" s="89"/>
      <c r="D494" s="104"/>
    </row>
    <row r="495">
      <c r="B495" s="114"/>
      <c r="C495" s="89"/>
      <c r="D495" s="104"/>
    </row>
    <row r="496">
      <c r="B496" s="114"/>
      <c r="C496" s="89"/>
      <c r="D496" s="104"/>
    </row>
    <row r="497">
      <c r="B497" s="114"/>
      <c r="C497" s="89"/>
      <c r="D497" s="104"/>
    </row>
    <row r="498">
      <c r="B498" s="114"/>
      <c r="C498" s="89"/>
      <c r="D498" s="104"/>
    </row>
    <row r="499">
      <c r="B499" s="114"/>
      <c r="C499" s="89"/>
      <c r="D499" s="104"/>
    </row>
    <row r="500">
      <c r="B500" s="114"/>
      <c r="C500" s="89"/>
      <c r="D500" s="104"/>
    </row>
    <row r="501">
      <c r="B501" s="114"/>
      <c r="C501" s="89"/>
      <c r="D501" s="104"/>
    </row>
    <row r="502">
      <c r="B502" s="114"/>
      <c r="C502" s="89"/>
      <c r="D502" s="104"/>
    </row>
    <row r="503">
      <c r="B503" s="114"/>
      <c r="C503" s="89"/>
      <c r="D503" s="104"/>
    </row>
    <row r="504">
      <c r="B504" s="114"/>
      <c r="C504" s="89"/>
      <c r="D504" s="104"/>
    </row>
    <row r="505">
      <c r="B505" s="114"/>
      <c r="C505" s="89"/>
      <c r="D505" s="104"/>
    </row>
    <row r="506">
      <c r="B506" s="114"/>
      <c r="C506" s="89"/>
      <c r="D506" s="104"/>
    </row>
    <row r="507">
      <c r="B507" s="114"/>
      <c r="C507" s="89"/>
      <c r="D507" s="104"/>
    </row>
    <row r="508">
      <c r="B508" s="114"/>
      <c r="C508" s="89"/>
      <c r="D508" s="104"/>
    </row>
    <row r="509">
      <c r="B509" s="114"/>
      <c r="C509" s="89"/>
      <c r="D509" s="104"/>
    </row>
    <row r="510">
      <c r="B510" s="114"/>
      <c r="C510" s="89"/>
      <c r="D510" s="104"/>
    </row>
    <row r="511">
      <c r="B511" s="114"/>
      <c r="C511" s="89"/>
      <c r="D511" s="104"/>
    </row>
    <row r="512">
      <c r="B512" s="114"/>
      <c r="C512" s="89"/>
      <c r="D512" s="104"/>
    </row>
    <row r="513">
      <c r="B513" s="114"/>
      <c r="C513" s="89"/>
      <c r="D513" s="104"/>
    </row>
    <row r="514">
      <c r="B514" s="114"/>
      <c r="C514" s="89"/>
      <c r="D514" s="104"/>
    </row>
    <row r="515">
      <c r="B515" s="114"/>
      <c r="C515" s="89"/>
      <c r="D515" s="104"/>
    </row>
    <row r="516">
      <c r="B516" s="114"/>
      <c r="C516" s="89"/>
      <c r="D516" s="104"/>
    </row>
    <row r="517">
      <c r="B517" s="114"/>
      <c r="C517" s="89"/>
      <c r="D517" s="104"/>
    </row>
    <row r="518">
      <c r="B518" s="114"/>
      <c r="C518" s="89"/>
      <c r="D518" s="104"/>
    </row>
    <row r="519">
      <c r="B519" s="114"/>
      <c r="C519" s="89"/>
      <c r="D519" s="104"/>
    </row>
    <row r="520">
      <c r="B520" s="114"/>
      <c r="C520" s="89"/>
      <c r="D520" s="104"/>
    </row>
    <row r="521">
      <c r="B521" s="114"/>
      <c r="C521" s="89"/>
      <c r="D521" s="104"/>
    </row>
    <row r="522">
      <c r="B522" s="114"/>
      <c r="C522" s="89"/>
      <c r="D522" s="104"/>
    </row>
    <row r="523">
      <c r="B523" s="114"/>
      <c r="C523" s="89"/>
      <c r="D523" s="104"/>
    </row>
    <row r="524">
      <c r="B524" s="114"/>
      <c r="C524" s="89"/>
      <c r="D524" s="104"/>
    </row>
    <row r="525">
      <c r="B525" s="114"/>
      <c r="C525" s="89"/>
      <c r="D525" s="104"/>
    </row>
    <row r="526">
      <c r="B526" s="114"/>
      <c r="C526" s="89"/>
      <c r="D526" s="104"/>
    </row>
    <row r="527">
      <c r="B527" s="114"/>
      <c r="C527" s="89"/>
      <c r="D527" s="104"/>
    </row>
    <row r="528">
      <c r="B528" s="114"/>
      <c r="C528" s="89"/>
      <c r="D528" s="104"/>
    </row>
    <row r="529">
      <c r="B529" s="114"/>
      <c r="C529" s="89"/>
      <c r="D529" s="104"/>
    </row>
    <row r="530">
      <c r="B530" s="114"/>
      <c r="C530" s="89"/>
      <c r="D530" s="104"/>
    </row>
    <row r="531">
      <c r="B531" s="114"/>
      <c r="C531" s="89"/>
      <c r="D531" s="104"/>
    </row>
    <row r="532">
      <c r="B532" s="114"/>
      <c r="C532" s="89"/>
      <c r="D532" s="104"/>
    </row>
    <row r="533">
      <c r="B533" s="114"/>
      <c r="C533" s="89"/>
      <c r="D533" s="104"/>
    </row>
    <row r="534">
      <c r="B534" s="114"/>
      <c r="C534" s="89"/>
      <c r="D534" s="104"/>
    </row>
    <row r="535">
      <c r="B535" s="114"/>
      <c r="C535" s="89"/>
      <c r="D535" s="104"/>
    </row>
    <row r="536">
      <c r="B536" s="114"/>
      <c r="C536" s="89"/>
      <c r="D536" s="104"/>
    </row>
    <row r="537">
      <c r="B537" s="114"/>
      <c r="C537" s="89"/>
      <c r="D537" s="104"/>
    </row>
    <row r="538">
      <c r="B538" s="114"/>
      <c r="C538" s="89"/>
      <c r="D538" s="104"/>
    </row>
    <row r="539">
      <c r="B539" s="114"/>
      <c r="C539" s="89"/>
      <c r="D539" s="104"/>
    </row>
    <row r="540">
      <c r="B540" s="114"/>
      <c r="C540" s="89"/>
      <c r="D540" s="104"/>
    </row>
    <row r="541">
      <c r="B541" s="114"/>
      <c r="C541" s="89"/>
      <c r="D541" s="104"/>
    </row>
    <row r="542">
      <c r="B542" s="114"/>
      <c r="C542" s="89"/>
      <c r="D542" s="104"/>
    </row>
    <row r="543">
      <c r="B543" s="114"/>
      <c r="C543" s="89"/>
      <c r="D543" s="104"/>
    </row>
    <row r="544">
      <c r="B544" s="114"/>
      <c r="C544" s="89"/>
      <c r="D544" s="104"/>
    </row>
    <row r="545">
      <c r="B545" s="114"/>
      <c r="C545" s="89"/>
      <c r="D545" s="104"/>
    </row>
    <row r="546">
      <c r="B546" s="114"/>
      <c r="C546" s="89"/>
      <c r="D546" s="104"/>
    </row>
    <row r="547">
      <c r="B547" s="114"/>
      <c r="C547" s="89"/>
      <c r="D547" s="104"/>
    </row>
    <row r="548">
      <c r="B548" s="114"/>
      <c r="C548" s="89"/>
      <c r="D548" s="104"/>
    </row>
    <row r="549">
      <c r="B549" s="114"/>
      <c r="C549" s="89"/>
      <c r="D549" s="104"/>
    </row>
    <row r="550">
      <c r="B550" s="114"/>
      <c r="C550" s="89"/>
      <c r="D550" s="104"/>
    </row>
    <row r="551">
      <c r="B551" s="114"/>
      <c r="C551" s="89"/>
      <c r="D551" s="104"/>
    </row>
    <row r="552">
      <c r="B552" s="114"/>
      <c r="C552" s="89"/>
      <c r="D552" s="104"/>
    </row>
    <row r="553">
      <c r="B553" s="114"/>
      <c r="C553" s="89"/>
      <c r="D553" s="104"/>
    </row>
    <row r="554">
      <c r="B554" s="114"/>
      <c r="C554" s="89"/>
      <c r="D554" s="104"/>
    </row>
    <row r="555">
      <c r="B555" s="114"/>
      <c r="C555" s="89"/>
      <c r="D555" s="104"/>
    </row>
    <row r="556">
      <c r="B556" s="114"/>
      <c r="C556" s="89"/>
      <c r="D556" s="104"/>
    </row>
    <row r="557">
      <c r="B557" s="114"/>
      <c r="C557" s="89"/>
      <c r="D557" s="104"/>
    </row>
    <row r="558">
      <c r="B558" s="114"/>
      <c r="C558" s="89"/>
      <c r="D558" s="104"/>
    </row>
    <row r="559">
      <c r="B559" s="114"/>
      <c r="C559" s="89"/>
      <c r="D559" s="104"/>
    </row>
    <row r="560">
      <c r="B560" s="114"/>
      <c r="C560" s="89"/>
      <c r="D560" s="104"/>
    </row>
    <row r="561">
      <c r="B561" s="114"/>
      <c r="C561" s="89"/>
      <c r="D561" s="104"/>
    </row>
    <row r="562">
      <c r="B562" s="114"/>
      <c r="C562" s="89"/>
      <c r="D562" s="104"/>
    </row>
    <row r="563">
      <c r="B563" s="114"/>
      <c r="C563" s="89"/>
      <c r="D563" s="104"/>
    </row>
    <row r="564">
      <c r="B564" s="114"/>
      <c r="C564" s="89"/>
      <c r="D564" s="104"/>
    </row>
    <row r="565">
      <c r="B565" s="114"/>
      <c r="C565" s="89"/>
      <c r="D565" s="104"/>
    </row>
    <row r="566">
      <c r="B566" s="114"/>
      <c r="C566" s="89"/>
      <c r="D566" s="104"/>
    </row>
    <row r="567">
      <c r="B567" s="114"/>
      <c r="C567" s="89"/>
      <c r="D567" s="104"/>
    </row>
    <row r="568">
      <c r="B568" s="114"/>
      <c r="C568" s="89"/>
      <c r="D568" s="104"/>
    </row>
    <row r="569">
      <c r="B569" s="114"/>
      <c r="C569" s="89"/>
      <c r="D569" s="104"/>
    </row>
    <row r="570">
      <c r="B570" s="114"/>
      <c r="C570" s="89"/>
      <c r="D570" s="104"/>
    </row>
    <row r="571">
      <c r="B571" s="114"/>
      <c r="C571" s="89"/>
      <c r="D571" s="104"/>
    </row>
    <row r="572">
      <c r="B572" s="114"/>
      <c r="C572" s="89"/>
      <c r="D572" s="104"/>
    </row>
    <row r="573">
      <c r="B573" s="114"/>
      <c r="C573" s="89"/>
      <c r="D573" s="104"/>
    </row>
    <row r="574">
      <c r="B574" s="114"/>
      <c r="C574" s="89"/>
      <c r="D574" s="104"/>
    </row>
    <row r="575">
      <c r="B575" s="114"/>
      <c r="C575" s="89"/>
      <c r="D575" s="104"/>
    </row>
    <row r="576">
      <c r="B576" s="114"/>
      <c r="C576" s="89"/>
      <c r="D576" s="104"/>
    </row>
    <row r="577">
      <c r="B577" s="114"/>
      <c r="C577" s="89"/>
      <c r="D577" s="104"/>
    </row>
    <row r="578">
      <c r="B578" s="114"/>
      <c r="C578" s="89"/>
      <c r="D578" s="104"/>
    </row>
    <row r="579">
      <c r="B579" s="114"/>
      <c r="C579" s="89"/>
      <c r="D579" s="104"/>
    </row>
    <row r="580">
      <c r="B580" s="114"/>
      <c r="C580" s="89"/>
      <c r="D580" s="104"/>
    </row>
    <row r="581">
      <c r="B581" s="114"/>
      <c r="C581" s="89"/>
      <c r="D581" s="104"/>
    </row>
    <row r="582">
      <c r="B582" s="114"/>
      <c r="C582" s="89"/>
      <c r="D582" s="104"/>
    </row>
    <row r="583">
      <c r="B583" s="114"/>
      <c r="C583" s="89"/>
      <c r="D583" s="104"/>
    </row>
    <row r="584">
      <c r="B584" s="114"/>
      <c r="C584" s="89"/>
      <c r="D584" s="104"/>
    </row>
    <row r="585">
      <c r="B585" s="114"/>
      <c r="C585" s="89"/>
      <c r="D585" s="104"/>
    </row>
    <row r="586">
      <c r="B586" s="114"/>
      <c r="C586" s="89"/>
      <c r="D586" s="104"/>
    </row>
    <row r="587">
      <c r="B587" s="114"/>
      <c r="C587" s="89"/>
      <c r="D587" s="104"/>
    </row>
    <row r="588">
      <c r="B588" s="114"/>
      <c r="C588" s="89"/>
      <c r="D588" s="104"/>
    </row>
    <row r="589">
      <c r="B589" s="114"/>
      <c r="C589" s="89"/>
      <c r="D589" s="104"/>
    </row>
    <row r="590">
      <c r="B590" s="114"/>
      <c r="C590" s="89"/>
      <c r="D590" s="104"/>
    </row>
    <row r="591">
      <c r="B591" s="114"/>
      <c r="C591" s="89"/>
      <c r="D591" s="104"/>
    </row>
    <row r="592">
      <c r="B592" s="114"/>
      <c r="C592" s="89"/>
      <c r="D592" s="104"/>
    </row>
    <row r="593">
      <c r="B593" s="114"/>
      <c r="C593" s="89"/>
      <c r="D593" s="104"/>
    </row>
    <row r="594">
      <c r="B594" s="114"/>
      <c r="C594" s="89"/>
      <c r="D594" s="104"/>
    </row>
    <row r="595">
      <c r="B595" s="114"/>
      <c r="C595" s="89"/>
      <c r="D595" s="104"/>
    </row>
    <row r="596">
      <c r="B596" s="114"/>
      <c r="C596" s="89"/>
      <c r="D596" s="104"/>
    </row>
    <row r="597">
      <c r="B597" s="114"/>
      <c r="C597" s="89"/>
      <c r="D597" s="104"/>
    </row>
    <row r="598">
      <c r="B598" s="114"/>
      <c r="C598" s="89"/>
      <c r="D598" s="104"/>
    </row>
    <row r="599">
      <c r="B599" s="114"/>
      <c r="C599" s="89"/>
      <c r="D599" s="104"/>
    </row>
    <row r="600">
      <c r="B600" s="114"/>
      <c r="C600" s="89"/>
      <c r="D600" s="104"/>
    </row>
    <row r="601">
      <c r="B601" s="114"/>
      <c r="C601" s="89"/>
      <c r="D601" s="104"/>
    </row>
    <row r="602">
      <c r="B602" s="114"/>
      <c r="C602" s="89"/>
      <c r="D602" s="104"/>
    </row>
    <row r="603">
      <c r="B603" s="114"/>
      <c r="C603" s="89"/>
      <c r="D603" s="104"/>
    </row>
    <row r="604">
      <c r="B604" s="114"/>
      <c r="C604" s="89"/>
      <c r="D604" s="104"/>
    </row>
    <row r="605">
      <c r="B605" s="114"/>
      <c r="C605" s="89"/>
      <c r="D605" s="104"/>
    </row>
    <row r="606">
      <c r="B606" s="114"/>
      <c r="C606" s="89"/>
      <c r="D606" s="104"/>
    </row>
    <row r="607">
      <c r="B607" s="114"/>
      <c r="C607" s="89"/>
      <c r="D607" s="104"/>
    </row>
    <row r="608">
      <c r="B608" s="114"/>
      <c r="C608" s="89"/>
      <c r="D608" s="104"/>
    </row>
    <row r="609">
      <c r="B609" s="114"/>
      <c r="C609" s="89"/>
      <c r="D609" s="104"/>
    </row>
    <row r="610">
      <c r="B610" s="114"/>
      <c r="C610" s="89"/>
      <c r="D610" s="104"/>
    </row>
    <row r="611">
      <c r="B611" s="114"/>
      <c r="C611" s="89"/>
      <c r="D611" s="104"/>
    </row>
    <row r="612">
      <c r="B612" s="114"/>
      <c r="C612" s="89"/>
      <c r="D612" s="104"/>
    </row>
    <row r="613">
      <c r="B613" s="114"/>
      <c r="C613" s="89"/>
      <c r="D613" s="104"/>
    </row>
    <row r="614">
      <c r="B614" s="114"/>
      <c r="C614" s="89"/>
      <c r="D614" s="104"/>
    </row>
    <row r="615">
      <c r="B615" s="114"/>
      <c r="C615" s="89"/>
      <c r="D615" s="104"/>
    </row>
    <row r="616">
      <c r="B616" s="114"/>
      <c r="C616" s="89"/>
      <c r="D616" s="104"/>
    </row>
    <row r="617">
      <c r="B617" s="114"/>
      <c r="C617" s="89"/>
      <c r="D617" s="104"/>
    </row>
    <row r="618">
      <c r="B618" s="114"/>
      <c r="C618" s="89"/>
      <c r="D618" s="104"/>
    </row>
    <row r="619">
      <c r="B619" s="114"/>
      <c r="C619" s="89"/>
      <c r="D619" s="104"/>
    </row>
    <row r="620">
      <c r="B620" s="114"/>
      <c r="C620" s="89"/>
      <c r="D620" s="104"/>
    </row>
    <row r="621">
      <c r="B621" s="114"/>
      <c r="C621" s="89"/>
      <c r="D621" s="104"/>
    </row>
    <row r="622">
      <c r="B622" s="114"/>
      <c r="C622" s="89"/>
      <c r="D622" s="104"/>
    </row>
    <row r="623">
      <c r="B623" s="114"/>
      <c r="C623" s="89"/>
      <c r="D623" s="104"/>
    </row>
    <row r="624">
      <c r="B624" s="114"/>
      <c r="C624" s="89"/>
      <c r="D624" s="104"/>
    </row>
    <row r="625">
      <c r="B625" s="114"/>
      <c r="C625" s="89"/>
      <c r="D625" s="104"/>
    </row>
    <row r="626">
      <c r="B626" s="114"/>
      <c r="C626" s="89"/>
      <c r="D626" s="104"/>
    </row>
    <row r="627">
      <c r="B627" s="114"/>
      <c r="C627" s="89"/>
      <c r="D627" s="104"/>
    </row>
    <row r="628">
      <c r="B628" s="114"/>
      <c r="C628" s="89"/>
      <c r="D628" s="104"/>
    </row>
    <row r="629">
      <c r="B629" s="114"/>
      <c r="C629" s="89"/>
      <c r="D629" s="104"/>
    </row>
    <row r="630">
      <c r="B630" s="114"/>
      <c r="C630" s="89"/>
      <c r="D630" s="104"/>
    </row>
    <row r="631">
      <c r="B631" s="114"/>
      <c r="C631" s="89"/>
      <c r="D631" s="104"/>
    </row>
    <row r="632">
      <c r="B632" s="114"/>
      <c r="C632" s="89"/>
      <c r="D632" s="104"/>
    </row>
    <row r="633">
      <c r="B633" s="114"/>
      <c r="C633" s="89"/>
      <c r="D633" s="104"/>
    </row>
    <row r="634">
      <c r="B634" s="114"/>
      <c r="C634" s="89"/>
      <c r="D634" s="104"/>
    </row>
    <row r="635">
      <c r="B635" s="114"/>
      <c r="C635" s="89"/>
      <c r="D635" s="104"/>
    </row>
    <row r="636">
      <c r="B636" s="114"/>
      <c r="C636" s="89"/>
      <c r="D636" s="104"/>
    </row>
    <row r="637">
      <c r="B637" s="114"/>
      <c r="C637" s="89"/>
      <c r="D637" s="104"/>
    </row>
    <row r="638">
      <c r="B638" s="114"/>
      <c r="C638" s="89"/>
      <c r="D638" s="104"/>
    </row>
    <row r="639">
      <c r="B639" s="114"/>
      <c r="C639" s="89"/>
      <c r="D639" s="104"/>
    </row>
    <row r="640">
      <c r="B640" s="114"/>
      <c r="C640" s="89"/>
      <c r="D640" s="104"/>
    </row>
    <row r="641">
      <c r="B641" s="114"/>
      <c r="C641" s="89"/>
      <c r="D641" s="104"/>
    </row>
    <row r="642">
      <c r="B642" s="114"/>
      <c r="C642" s="89"/>
      <c r="D642" s="104"/>
    </row>
    <row r="643">
      <c r="B643" s="114"/>
      <c r="C643" s="89"/>
      <c r="D643" s="104"/>
    </row>
    <row r="644">
      <c r="B644" s="114"/>
      <c r="C644" s="89"/>
      <c r="D644" s="104"/>
    </row>
    <row r="645">
      <c r="B645" s="114"/>
      <c r="C645" s="89"/>
      <c r="D645" s="104"/>
    </row>
    <row r="646">
      <c r="B646" s="114"/>
      <c r="C646" s="89"/>
      <c r="D646" s="104"/>
    </row>
    <row r="647">
      <c r="B647" s="114"/>
      <c r="C647" s="89"/>
      <c r="D647" s="104"/>
    </row>
    <row r="648">
      <c r="B648" s="114"/>
      <c r="C648" s="89"/>
      <c r="D648" s="104"/>
    </row>
    <row r="649">
      <c r="B649" s="114"/>
      <c r="C649" s="89"/>
      <c r="D649" s="104"/>
    </row>
    <row r="650">
      <c r="B650" s="114"/>
      <c r="C650" s="89"/>
      <c r="D650" s="104"/>
    </row>
    <row r="651">
      <c r="B651" s="114"/>
      <c r="C651" s="89"/>
      <c r="D651" s="104"/>
    </row>
    <row r="652">
      <c r="B652" s="114"/>
      <c r="C652" s="89"/>
      <c r="D652" s="104"/>
    </row>
    <row r="653">
      <c r="B653" s="114"/>
      <c r="C653" s="89"/>
      <c r="D653" s="104"/>
    </row>
    <row r="654">
      <c r="B654" s="114"/>
      <c r="C654" s="89"/>
      <c r="D654" s="104"/>
    </row>
    <row r="655">
      <c r="B655" s="114"/>
      <c r="C655" s="89"/>
      <c r="D655" s="104"/>
    </row>
    <row r="656">
      <c r="B656" s="114"/>
      <c r="C656" s="89"/>
      <c r="D656" s="104"/>
    </row>
    <row r="657">
      <c r="B657" s="114"/>
      <c r="C657" s="89"/>
      <c r="D657" s="104"/>
    </row>
    <row r="658">
      <c r="B658" s="114"/>
      <c r="C658" s="89"/>
      <c r="D658" s="104"/>
    </row>
    <row r="659">
      <c r="B659" s="114"/>
      <c r="C659" s="89"/>
      <c r="D659" s="104"/>
    </row>
    <row r="660">
      <c r="B660" s="114"/>
      <c r="C660" s="89"/>
      <c r="D660" s="104"/>
    </row>
    <row r="661">
      <c r="B661" s="114"/>
      <c r="C661" s="89"/>
      <c r="D661" s="104"/>
    </row>
    <row r="662">
      <c r="B662" s="114"/>
      <c r="C662" s="89"/>
      <c r="D662" s="104"/>
    </row>
    <row r="663">
      <c r="B663" s="114"/>
      <c r="C663" s="89"/>
      <c r="D663" s="104"/>
    </row>
    <row r="664">
      <c r="B664" s="114"/>
      <c r="C664" s="89"/>
      <c r="D664" s="104"/>
    </row>
    <row r="665">
      <c r="B665" s="114"/>
      <c r="C665" s="89"/>
      <c r="D665" s="104"/>
    </row>
    <row r="666">
      <c r="B666" s="114"/>
      <c r="C666" s="89"/>
      <c r="D666" s="104"/>
    </row>
    <row r="667">
      <c r="B667" s="114"/>
      <c r="C667" s="89"/>
      <c r="D667" s="104"/>
    </row>
    <row r="668">
      <c r="B668" s="114"/>
      <c r="C668" s="89"/>
      <c r="D668" s="104"/>
    </row>
    <row r="669">
      <c r="B669" s="114"/>
      <c r="C669" s="89"/>
      <c r="D669" s="104"/>
    </row>
    <row r="670">
      <c r="B670" s="114"/>
      <c r="C670" s="89"/>
      <c r="D670" s="104"/>
    </row>
    <row r="671">
      <c r="B671" s="114"/>
      <c r="C671" s="89"/>
      <c r="D671" s="104"/>
    </row>
    <row r="672">
      <c r="B672" s="114"/>
      <c r="C672" s="89"/>
      <c r="D672" s="104"/>
    </row>
    <row r="673">
      <c r="B673" s="114"/>
      <c r="C673" s="89"/>
      <c r="D673" s="104"/>
    </row>
    <row r="674">
      <c r="B674" s="114"/>
      <c r="C674" s="89"/>
      <c r="D674" s="104"/>
    </row>
    <row r="675">
      <c r="B675" s="114"/>
      <c r="C675" s="89"/>
      <c r="D675" s="104"/>
    </row>
    <row r="676">
      <c r="B676" s="114"/>
      <c r="C676" s="89"/>
      <c r="D676" s="104"/>
    </row>
    <row r="677">
      <c r="B677" s="114"/>
      <c r="C677" s="89"/>
      <c r="D677" s="104"/>
    </row>
    <row r="678">
      <c r="B678" s="114"/>
      <c r="C678" s="89"/>
      <c r="D678" s="104"/>
    </row>
    <row r="679">
      <c r="B679" s="114"/>
      <c r="C679" s="89"/>
      <c r="D679" s="104"/>
    </row>
    <row r="680">
      <c r="B680" s="114"/>
      <c r="C680" s="89"/>
      <c r="D680" s="104"/>
    </row>
    <row r="681">
      <c r="B681" s="114"/>
      <c r="C681" s="89"/>
      <c r="D681" s="104"/>
    </row>
    <row r="682">
      <c r="B682" s="114"/>
      <c r="C682" s="89"/>
      <c r="D682" s="104"/>
    </row>
    <row r="683">
      <c r="B683" s="114"/>
      <c r="C683" s="89"/>
      <c r="D683" s="104"/>
    </row>
    <row r="684">
      <c r="B684" s="114"/>
      <c r="C684" s="89"/>
      <c r="D684" s="104"/>
    </row>
    <row r="685">
      <c r="B685" s="114"/>
      <c r="C685" s="89"/>
      <c r="D685" s="104"/>
    </row>
    <row r="686">
      <c r="B686" s="114"/>
      <c r="C686" s="89"/>
      <c r="D686" s="104"/>
    </row>
    <row r="687">
      <c r="B687" s="114"/>
      <c r="C687" s="89"/>
      <c r="D687" s="104"/>
    </row>
    <row r="688">
      <c r="B688" s="114"/>
      <c r="C688" s="89"/>
      <c r="D688" s="104"/>
    </row>
    <row r="689">
      <c r="B689" s="114"/>
      <c r="C689" s="89"/>
      <c r="D689" s="104"/>
    </row>
    <row r="690">
      <c r="B690" s="114"/>
      <c r="C690" s="89"/>
      <c r="D690" s="104"/>
    </row>
    <row r="691">
      <c r="B691" s="114"/>
      <c r="C691" s="89"/>
      <c r="D691" s="104"/>
    </row>
    <row r="692">
      <c r="B692" s="114"/>
      <c r="C692" s="89"/>
      <c r="D692" s="104"/>
    </row>
    <row r="693">
      <c r="B693" s="114"/>
      <c r="C693" s="89"/>
      <c r="D693" s="104"/>
    </row>
    <row r="694">
      <c r="B694" s="114"/>
      <c r="C694" s="89"/>
      <c r="D694" s="104"/>
    </row>
    <row r="695">
      <c r="B695" s="114"/>
      <c r="C695" s="89"/>
      <c r="D695" s="104"/>
    </row>
    <row r="696">
      <c r="B696" s="114"/>
      <c r="C696" s="89"/>
      <c r="D696" s="104"/>
    </row>
    <row r="697">
      <c r="B697" s="114"/>
      <c r="C697" s="89"/>
      <c r="D697" s="104"/>
    </row>
    <row r="698">
      <c r="B698" s="114"/>
      <c r="C698" s="89"/>
      <c r="D698" s="104"/>
    </row>
    <row r="699">
      <c r="B699" s="114"/>
      <c r="C699" s="89"/>
      <c r="D699" s="104"/>
    </row>
    <row r="700">
      <c r="B700" s="114"/>
      <c r="C700" s="89"/>
      <c r="D700" s="104"/>
    </row>
    <row r="701">
      <c r="B701" s="114"/>
      <c r="C701" s="89"/>
      <c r="D701" s="104"/>
    </row>
    <row r="702">
      <c r="B702" s="114"/>
      <c r="C702" s="89"/>
      <c r="D702" s="104"/>
    </row>
    <row r="703">
      <c r="B703" s="114"/>
      <c r="C703" s="89"/>
      <c r="D703" s="104"/>
    </row>
    <row r="704">
      <c r="B704" s="114"/>
      <c r="C704" s="89"/>
      <c r="D704" s="104"/>
    </row>
    <row r="705">
      <c r="B705" s="114"/>
      <c r="C705" s="89"/>
      <c r="D705" s="104"/>
    </row>
    <row r="706">
      <c r="B706" s="114"/>
      <c r="C706" s="89"/>
      <c r="D706" s="104"/>
    </row>
    <row r="707">
      <c r="B707" s="114"/>
      <c r="C707" s="89"/>
      <c r="D707" s="104"/>
    </row>
    <row r="708">
      <c r="B708" s="114"/>
      <c r="C708" s="89"/>
      <c r="D708" s="104"/>
    </row>
    <row r="709">
      <c r="B709" s="114"/>
      <c r="C709" s="89"/>
      <c r="D709" s="104"/>
    </row>
    <row r="710">
      <c r="B710" s="114"/>
      <c r="C710" s="89"/>
      <c r="D710" s="104"/>
    </row>
    <row r="711">
      <c r="B711" s="114"/>
      <c r="C711" s="89"/>
      <c r="D711" s="104"/>
    </row>
    <row r="712">
      <c r="B712" s="114"/>
      <c r="C712" s="89"/>
      <c r="D712" s="104"/>
    </row>
    <row r="713">
      <c r="B713" s="114"/>
      <c r="C713" s="89"/>
      <c r="D713" s="104"/>
    </row>
    <row r="714">
      <c r="B714" s="114"/>
      <c r="C714" s="89"/>
      <c r="D714" s="104"/>
    </row>
    <row r="715">
      <c r="B715" s="114"/>
      <c r="C715" s="89"/>
      <c r="D715" s="104"/>
    </row>
    <row r="716">
      <c r="B716" s="114"/>
      <c r="C716" s="89"/>
      <c r="D716" s="104"/>
    </row>
    <row r="717">
      <c r="B717" s="114"/>
      <c r="C717" s="89"/>
      <c r="D717" s="104"/>
    </row>
    <row r="718">
      <c r="B718" s="114"/>
      <c r="C718" s="89"/>
      <c r="D718" s="104"/>
    </row>
    <row r="719">
      <c r="B719" s="114"/>
      <c r="C719" s="89"/>
      <c r="D719" s="104"/>
    </row>
    <row r="720">
      <c r="B720" s="114"/>
      <c r="C720" s="89"/>
      <c r="D720" s="104"/>
    </row>
    <row r="721">
      <c r="B721" s="114"/>
      <c r="C721" s="89"/>
      <c r="D721" s="104"/>
    </row>
    <row r="722">
      <c r="B722" s="114"/>
      <c r="C722" s="89"/>
      <c r="D722" s="104"/>
    </row>
    <row r="723">
      <c r="B723" s="114"/>
      <c r="C723" s="89"/>
      <c r="D723" s="104"/>
    </row>
    <row r="724">
      <c r="B724" s="114"/>
      <c r="C724" s="89"/>
      <c r="D724" s="104"/>
    </row>
    <row r="725">
      <c r="B725" s="114"/>
      <c r="C725" s="89"/>
      <c r="D725" s="104"/>
    </row>
    <row r="726">
      <c r="B726" s="114"/>
      <c r="C726" s="89"/>
      <c r="D726" s="104"/>
    </row>
    <row r="727">
      <c r="B727" s="114"/>
      <c r="C727" s="89"/>
      <c r="D727" s="104"/>
    </row>
    <row r="728">
      <c r="B728" s="114"/>
      <c r="C728" s="89"/>
      <c r="D728" s="104"/>
    </row>
    <row r="729">
      <c r="B729" s="114"/>
      <c r="C729" s="89"/>
      <c r="D729" s="104"/>
    </row>
    <row r="730">
      <c r="B730" s="114"/>
      <c r="C730" s="89"/>
      <c r="D730" s="104"/>
    </row>
    <row r="731">
      <c r="B731" s="114"/>
      <c r="C731" s="89"/>
      <c r="D731" s="104"/>
    </row>
    <row r="732">
      <c r="B732" s="114"/>
      <c r="C732" s="89"/>
      <c r="D732" s="104"/>
    </row>
    <row r="733">
      <c r="B733" s="114"/>
      <c r="C733" s="89"/>
      <c r="D733" s="104"/>
    </row>
    <row r="734">
      <c r="B734" s="114"/>
      <c r="C734" s="89"/>
      <c r="D734" s="104"/>
    </row>
    <row r="735">
      <c r="B735" s="114"/>
      <c r="C735" s="89"/>
      <c r="D735" s="104"/>
    </row>
    <row r="736">
      <c r="B736" s="114"/>
      <c r="C736" s="89"/>
      <c r="D736" s="104"/>
    </row>
    <row r="737">
      <c r="B737" s="114"/>
      <c r="C737" s="89"/>
      <c r="D737" s="104"/>
    </row>
    <row r="738">
      <c r="B738" s="114"/>
      <c r="C738" s="89"/>
      <c r="D738" s="104"/>
    </row>
    <row r="739">
      <c r="B739" s="114"/>
      <c r="C739" s="89"/>
      <c r="D739" s="104"/>
    </row>
    <row r="740">
      <c r="B740" s="114"/>
      <c r="C740" s="89"/>
      <c r="D740" s="104"/>
    </row>
    <row r="741">
      <c r="B741" s="114"/>
      <c r="C741" s="89"/>
      <c r="D741" s="104"/>
    </row>
    <row r="742">
      <c r="B742" s="114"/>
      <c r="C742" s="89"/>
      <c r="D742" s="104"/>
    </row>
    <row r="743">
      <c r="B743" s="114"/>
      <c r="C743" s="89"/>
      <c r="D743" s="104"/>
    </row>
    <row r="744">
      <c r="B744" s="114"/>
      <c r="C744" s="89"/>
      <c r="D744" s="104"/>
    </row>
    <row r="745">
      <c r="B745" s="114"/>
      <c r="C745" s="89"/>
      <c r="D745" s="104"/>
    </row>
    <row r="746">
      <c r="B746" s="114"/>
      <c r="C746" s="89"/>
      <c r="D746" s="104"/>
    </row>
    <row r="747">
      <c r="B747" s="114"/>
      <c r="C747" s="89"/>
      <c r="D747" s="104"/>
    </row>
    <row r="748">
      <c r="B748" s="114"/>
      <c r="C748" s="89"/>
      <c r="D748" s="104"/>
    </row>
    <row r="749">
      <c r="B749" s="114"/>
      <c r="C749" s="89"/>
      <c r="D749" s="104"/>
    </row>
    <row r="750">
      <c r="B750" s="114"/>
      <c r="C750" s="89"/>
      <c r="D750" s="104"/>
    </row>
    <row r="751">
      <c r="B751" s="114"/>
      <c r="C751" s="89"/>
      <c r="D751" s="104"/>
    </row>
    <row r="752">
      <c r="B752" s="114"/>
      <c r="C752" s="89"/>
      <c r="D752" s="104"/>
    </row>
    <row r="753">
      <c r="B753" s="114"/>
      <c r="C753" s="89"/>
      <c r="D753" s="104"/>
    </row>
    <row r="754">
      <c r="B754" s="114"/>
      <c r="C754" s="89"/>
      <c r="D754" s="104"/>
    </row>
    <row r="755">
      <c r="B755" s="114"/>
      <c r="C755" s="89"/>
      <c r="D755" s="104"/>
    </row>
    <row r="756">
      <c r="B756" s="114"/>
      <c r="C756" s="89"/>
      <c r="D756" s="104"/>
    </row>
    <row r="757">
      <c r="B757" s="114"/>
      <c r="C757" s="89"/>
      <c r="D757" s="104"/>
    </row>
    <row r="758">
      <c r="B758" s="114"/>
      <c r="C758" s="89"/>
      <c r="D758" s="104"/>
    </row>
    <row r="759">
      <c r="B759" s="114"/>
      <c r="C759" s="89"/>
      <c r="D759" s="104"/>
    </row>
    <row r="760">
      <c r="B760" s="114"/>
      <c r="C760" s="89"/>
      <c r="D760" s="104"/>
    </row>
    <row r="761">
      <c r="B761" s="114"/>
      <c r="C761" s="89"/>
      <c r="D761" s="104"/>
    </row>
    <row r="762">
      <c r="B762" s="114"/>
      <c r="C762" s="89"/>
      <c r="D762" s="104"/>
    </row>
    <row r="763">
      <c r="B763" s="114"/>
      <c r="C763" s="89"/>
      <c r="D763" s="104"/>
    </row>
    <row r="764">
      <c r="B764" s="114"/>
      <c r="C764" s="89"/>
      <c r="D764" s="104"/>
    </row>
    <row r="765">
      <c r="B765" s="114"/>
      <c r="C765" s="89"/>
      <c r="D765" s="104"/>
    </row>
    <row r="766">
      <c r="B766" s="114"/>
      <c r="C766" s="89"/>
      <c r="D766" s="104"/>
    </row>
    <row r="767">
      <c r="B767" s="114"/>
      <c r="C767" s="89"/>
      <c r="D767" s="104"/>
    </row>
    <row r="768">
      <c r="B768" s="114"/>
      <c r="C768" s="89"/>
      <c r="D768" s="104"/>
    </row>
    <row r="769">
      <c r="B769" s="114"/>
      <c r="C769" s="89"/>
      <c r="D769" s="104"/>
    </row>
    <row r="770">
      <c r="B770" s="114"/>
      <c r="C770" s="89"/>
      <c r="D770" s="104"/>
    </row>
    <row r="771">
      <c r="B771" s="114"/>
      <c r="C771" s="89"/>
      <c r="D771" s="104"/>
    </row>
    <row r="772">
      <c r="B772" s="114"/>
      <c r="C772" s="89"/>
      <c r="D772" s="104"/>
    </row>
    <row r="773">
      <c r="B773" s="114"/>
      <c r="C773" s="89"/>
      <c r="D773" s="104"/>
    </row>
    <row r="774">
      <c r="B774" s="114"/>
      <c r="C774" s="89"/>
      <c r="D774" s="104"/>
    </row>
    <row r="775">
      <c r="B775" s="114"/>
      <c r="C775" s="89"/>
      <c r="D775" s="104"/>
    </row>
    <row r="776">
      <c r="B776" s="114"/>
      <c r="C776" s="89"/>
      <c r="D776" s="104"/>
    </row>
    <row r="777">
      <c r="B777" s="114"/>
      <c r="C777" s="89"/>
      <c r="D777" s="104"/>
    </row>
    <row r="778">
      <c r="B778" s="114"/>
      <c r="C778" s="89"/>
      <c r="D778" s="104"/>
    </row>
    <row r="779">
      <c r="B779" s="114"/>
      <c r="C779" s="89"/>
      <c r="D779" s="104"/>
    </row>
    <row r="780">
      <c r="B780" s="114"/>
      <c r="C780" s="89"/>
      <c r="D780" s="104"/>
    </row>
    <row r="781">
      <c r="B781" s="114"/>
      <c r="C781" s="89"/>
      <c r="D781" s="104"/>
    </row>
    <row r="782">
      <c r="B782" s="114"/>
      <c r="C782" s="89"/>
      <c r="D782" s="104"/>
    </row>
    <row r="783">
      <c r="B783" s="114"/>
      <c r="C783" s="89"/>
      <c r="D783" s="104"/>
    </row>
    <row r="784">
      <c r="B784" s="114"/>
      <c r="C784" s="89"/>
      <c r="D784" s="104"/>
    </row>
    <row r="785">
      <c r="B785" s="114"/>
      <c r="C785" s="89"/>
      <c r="D785" s="104"/>
    </row>
    <row r="786">
      <c r="B786" s="114"/>
      <c r="C786" s="89"/>
      <c r="D786" s="104"/>
    </row>
    <row r="787">
      <c r="B787" s="114"/>
      <c r="C787" s="89"/>
      <c r="D787" s="104"/>
    </row>
    <row r="788">
      <c r="B788" s="114"/>
      <c r="C788" s="89"/>
      <c r="D788" s="104"/>
    </row>
    <row r="789">
      <c r="B789" s="114"/>
      <c r="C789" s="89"/>
      <c r="D789" s="104"/>
    </row>
    <row r="790">
      <c r="B790" s="114"/>
      <c r="C790" s="89"/>
      <c r="D790" s="104"/>
    </row>
    <row r="791">
      <c r="B791" s="114"/>
      <c r="C791" s="89"/>
      <c r="D791" s="104"/>
    </row>
    <row r="792">
      <c r="B792" s="114"/>
      <c r="C792" s="89"/>
      <c r="D792" s="104"/>
    </row>
    <row r="793">
      <c r="B793" s="114"/>
      <c r="C793" s="89"/>
      <c r="D793" s="104"/>
    </row>
    <row r="794">
      <c r="B794" s="114"/>
      <c r="C794" s="89"/>
      <c r="D794" s="104"/>
    </row>
    <row r="795">
      <c r="B795" s="114"/>
      <c r="C795" s="89"/>
      <c r="D795" s="104"/>
    </row>
    <row r="796">
      <c r="B796" s="114"/>
      <c r="C796" s="89"/>
      <c r="D796" s="104"/>
    </row>
    <row r="797">
      <c r="B797" s="114"/>
      <c r="C797" s="89"/>
      <c r="D797" s="104"/>
    </row>
    <row r="798">
      <c r="B798" s="114"/>
      <c r="C798" s="89"/>
      <c r="D798" s="104"/>
    </row>
    <row r="799">
      <c r="B799" s="114"/>
      <c r="C799" s="89"/>
      <c r="D799" s="104"/>
    </row>
    <row r="800">
      <c r="B800" s="114"/>
      <c r="C800" s="89"/>
      <c r="D800" s="104"/>
    </row>
    <row r="801">
      <c r="B801" s="114"/>
      <c r="C801" s="89"/>
      <c r="D801" s="104"/>
    </row>
    <row r="802">
      <c r="B802" s="114"/>
      <c r="C802" s="89"/>
      <c r="D802" s="104"/>
    </row>
    <row r="803">
      <c r="B803" s="114"/>
      <c r="C803" s="89"/>
      <c r="D803" s="104"/>
    </row>
    <row r="804">
      <c r="B804" s="114"/>
      <c r="C804" s="89"/>
      <c r="D804" s="104"/>
    </row>
    <row r="805">
      <c r="B805" s="114"/>
      <c r="C805" s="89"/>
      <c r="D805" s="104"/>
    </row>
    <row r="806">
      <c r="B806" s="114"/>
      <c r="C806" s="89"/>
      <c r="D806" s="104"/>
    </row>
    <row r="807">
      <c r="B807" s="114"/>
      <c r="C807" s="89"/>
      <c r="D807" s="104"/>
    </row>
    <row r="808">
      <c r="B808" s="114"/>
      <c r="C808" s="89"/>
      <c r="D808" s="104"/>
    </row>
    <row r="809">
      <c r="B809" s="114"/>
      <c r="C809" s="89"/>
      <c r="D809" s="104"/>
    </row>
    <row r="810">
      <c r="B810" s="114"/>
      <c r="C810" s="89"/>
      <c r="D810" s="104"/>
    </row>
    <row r="811">
      <c r="B811" s="114"/>
      <c r="C811" s="89"/>
      <c r="D811" s="104"/>
    </row>
    <row r="812">
      <c r="B812" s="114"/>
      <c r="C812" s="89"/>
      <c r="D812" s="104"/>
    </row>
    <row r="813">
      <c r="B813" s="114"/>
      <c r="C813" s="89"/>
      <c r="D813" s="104"/>
    </row>
    <row r="814">
      <c r="B814" s="114"/>
      <c r="C814" s="89"/>
      <c r="D814" s="104"/>
    </row>
    <row r="815">
      <c r="B815" s="114"/>
      <c r="C815" s="89"/>
      <c r="D815" s="104"/>
    </row>
    <row r="816">
      <c r="B816" s="114"/>
      <c r="C816" s="89"/>
      <c r="D816" s="104"/>
    </row>
    <row r="817">
      <c r="B817" s="114"/>
      <c r="C817" s="89"/>
      <c r="D817" s="104"/>
    </row>
    <row r="818">
      <c r="B818" s="114"/>
      <c r="C818" s="89"/>
      <c r="D818" s="104"/>
    </row>
    <row r="819">
      <c r="B819" s="114"/>
      <c r="C819" s="89"/>
      <c r="D819" s="104"/>
    </row>
    <row r="820">
      <c r="B820" s="114"/>
      <c r="C820" s="89"/>
      <c r="D820" s="104"/>
    </row>
    <row r="821">
      <c r="B821" s="114"/>
      <c r="C821" s="89"/>
      <c r="D821" s="104"/>
    </row>
    <row r="822">
      <c r="B822" s="114"/>
      <c r="C822" s="89"/>
      <c r="D822" s="104"/>
    </row>
    <row r="823">
      <c r="B823" s="114"/>
      <c r="C823" s="89"/>
      <c r="D823" s="104"/>
    </row>
    <row r="824">
      <c r="B824" s="114"/>
      <c r="C824" s="89"/>
      <c r="D824" s="104"/>
    </row>
    <row r="825">
      <c r="B825" s="114"/>
      <c r="C825" s="89"/>
      <c r="D825" s="104"/>
    </row>
    <row r="826">
      <c r="B826" s="114"/>
      <c r="C826" s="89"/>
      <c r="D826" s="104"/>
    </row>
    <row r="827">
      <c r="B827" s="114"/>
      <c r="C827" s="89"/>
      <c r="D827" s="104"/>
    </row>
    <row r="828">
      <c r="B828" s="114"/>
      <c r="C828" s="89"/>
      <c r="D828" s="104"/>
    </row>
    <row r="829">
      <c r="B829" s="114"/>
      <c r="C829" s="89"/>
      <c r="D829" s="104"/>
    </row>
    <row r="830">
      <c r="B830" s="114"/>
      <c r="C830" s="89"/>
      <c r="D830" s="104"/>
    </row>
    <row r="831">
      <c r="B831" s="114"/>
      <c r="C831" s="89"/>
      <c r="D831" s="104"/>
    </row>
    <row r="832">
      <c r="B832" s="114"/>
      <c r="C832" s="89"/>
      <c r="D832" s="104"/>
    </row>
    <row r="833">
      <c r="B833" s="114"/>
      <c r="C833" s="89"/>
      <c r="D833" s="104"/>
    </row>
    <row r="834">
      <c r="B834" s="114"/>
      <c r="C834" s="89"/>
      <c r="D834" s="104"/>
    </row>
    <row r="835">
      <c r="B835" s="114"/>
      <c r="C835" s="89"/>
      <c r="D835" s="104"/>
    </row>
    <row r="836">
      <c r="B836" s="114"/>
      <c r="C836" s="89"/>
      <c r="D836" s="104"/>
    </row>
    <row r="837">
      <c r="B837" s="114"/>
      <c r="C837" s="89"/>
      <c r="D837" s="104"/>
    </row>
    <row r="838">
      <c r="B838" s="114"/>
      <c r="C838" s="89"/>
      <c r="D838" s="104"/>
    </row>
    <row r="839">
      <c r="B839" s="114"/>
      <c r="C839" s="89"/>
      <c r="D839" s="104"/>
    </row>
    <row r="840">
      <c r="B840" s="114"/>
      <c r="C840" s="89"/>
      <c r="D840" s="104"/>
    </row>
    <row r="841">
      <c r="B841" s="114"/>
      <c r="C841" s="89"/>
      <c r="D841" s="104"/>
    </row>
    <row r="842">
      <c r="B842" s="114"/>
      <c r="C842" s="89"/>
      <c r="D842" s="104"/>
    </row>
    <row r="843">
      <c r="B843" s="114"/>
      <c r="C843" s="89"/>
      <c r="D843" s="104"/>
    </row>
    <row r="844">
      <c r="B844" s="114"/>
      <c r="C844" s="89"/>
      <c r="D844" s="104"/>
    </row>
    <row r="845">
      <c r="B845" s="114"/>
      <c r="C845" s="89"/>
      <c r="D845" s="104"/>
    </row>
    <row r="846">
      <c r="B846" s="114"/>
      <c r="C846" s="89"/>
      <c r="D846" s="104"/>
    </row>
    <row r="847">
      <c r="B847" s="114"/>
      <c r="C847" s="89"/>
      <c r="D847" s="104"/>
    </row>
    <row r="848">
      <c r="B848" s="114"/>
      <c r="C848" s="89"/>
      <c r="D848" s="104"/>
    </row>
    <row r="849">
      <c r="B849" s="114"/>
      <c r="C849" s="89"/>
      <c r="D849" s="104"/>
    </row>
    <row r="850">
      <c r="B850" s="114"/>
      <c r="C850" s="89"/>
      <c r="D850" s="104"/>
    </row>
    <row r="851">
      <c r="B851" s="114"/>
      <c r="C851" s="89"/>
      <c r="D851" s="104"/>
    </row>
    <row r="852">
      <c r="B852" s="114"/>
      <c r="C852" s="89"/>
      <c r="D852" s="104"/>
    </row>
    <row r="853">
      <c r="B853" s="114"/>
      <c r="C853" s="89"/>
      <c r="D853" s="104"/>
    </row>
    <row r="854">
      <c r="B854" s="114"/>
      <c r="C854" s="89"/>
      <c r="D854" s="104"/>
    </row>
    <row r="855">
      <c r="B855" s="114"/>
      <c r="C855" s="89"/>
      <c r="D855" s="104"/>
    </row>
    <row r="856">
      <c r="B856" s="114"/>
      <c r="C856" s="89"/>
      <c r="D856" s="104"/>
    </row>
    <row r="857">
      <c r="B857" s="114"/>
      <c r="C857" s="89"/>
      <c r="D857" s="104"/>
    </row>
    <row r="858">
      <c r="B858" s="114"/>
      <c r="C858" s="89"/>
      <c r="D858" s="104"/>
    </row>
    <row r="859">
      <c r="B859" s="114"/>
      <c r="C859" s="89"/>
      <c r="D859" s="104"/>
    </row>
    <row r="860">
      <c r="B860" s="114"/>
      <c r="C860" s="89"/>
      <c r="D860" s="104"/>
    </row>
    <row r="861">
      <c r="B861" s="114"/>
      <c r="C861" s="89"/>
      <c r="D861" s="104"/>
    </row>
    <row r="862">
      <c r="B862" s="114"/>
      <c r="C862" s="89"/>
      <c r="D862" s="104"/>
    </row>
    <row r="863">
      <c r="B863" s="114"/>
      <c r="C863" s="89"/>
      <c r="D863" s="104"/>
    </row>
    <row r="864">
      <c r="B864" s="114"/>
      <c r="C864" s="89"/>
      <c r="D864" s="104"/>
    </row>
    <row r="865">
      <c r="B865" s="114"/>
      <c r="C865" s="89"/>
      <c r="D865" s="104"/>
    </row>
    <row r="866">
      <c r="B866" s="114"/>
      <c r="C866" s="89"/>
      <c r="D866" s="104"/>
    </row>
    <row r="867">
      <c r="B867" s="114"/>
      <c r="C867" s="89"/>
      <c r="D867" s="104"/>
    </row>
    <row r="868">
      <c r="B868" s="114"/>
      <c r="C868" s="89"/>
      <c r="D868" s="104"/>
    </row>
    <row r="869">
      <c r="B869" s="114"/>
      <c r="C869" s="89"/>
      <c r="D869" s="104"/>
    </row>
    <row r="870">
      <c r="B870" s="114"/>
      <c r="C870" s="89"/>
      <c r="D870" s="104"/>
    </row>
    <row r="871">
      <c r="B871" s="114"/>
      <c r="C871" s="89"/>
      <c r="D871" s="104"/>
    </row>
    <row r="872">
      <c r="B872" s="114"/>
      <c r="C872" s="89"/>
      <c r="D872" s="104"/>
    </row>
    <row r="873">
      <c r="B873" s="114"/>
      <c r="C873" s="89"/>
      <c r="D873" s="104"/>
    </row>
    <row r="874">
      <c r="B874" s="114"/>
      <c r="C874" s="89"/>
      <c r="D874" s="104"/>
    </row>
    <row r="875">
      <c r="B875" s="114"/>
      <c r="C875" s="89"/>
      <c r="D875" s="104"/>
    </row>
    <row r="876">
      <c r="B876" s="114"/>
      <c r="C876" s="89"/>
      <c r="D876" s="104"/>
    </row>
    <row r="877">
      <c r="B877" s="114"/>
      <c r="C877" s="89"/>
      <c r="D877" s="104"/>
    </row>
    <row r="878">
      <c r="B878" s="114"/>
      <c r="C878" s="89"/>
      <c r="D878" s="104"/>
    </row>
    <row r="879">
      <c r="B879" s="114"/>
      <c r="C879" s="89"/>
      <c r="D879" s="104"/>
    </row>
    <row r="880">
      <c r="B880" s="114"/>
      <c r="C880" s="89"/>
      <c r="D880" s="104"/>
    </row>
    <row r="881">
      <c r="B881" s="114"/>
      <c r="C881" s="89"/>
      <c r="D881" s="104"/>
    </row>
    <row r="882">
      <c r="B882" s="114"/>
      <c r="C882" s="89"/>
      <c r="D882" s="104"/>
    </row>
    <row r="883">
      <c r="B883" s="114"/>
      <c r="C883" s="89"/>
      <c r="D883" s="104"/>
    </row>
    <row r="884">
      <c r="B884" s="114"/>
      <c r="C884" s="89"/>
      <c r="D884" s="104"/>
    </row>
    <row r="885">
      <c r="B885" s="114"/>
      <c r="C885" s="89"/>
      <c r="D885" s="104"/>
    </row>
    <row r="886">
      <c r="B886" s="114"/>
      <c r="C886" s="89"/>
      <c r="D886" s="104"/>
    </row>
    <row r="887">
      <c r="B887" s="114"/>
      <c r="C887" s="89"/>
      <c r="D887" s="104"/>
    </row>
    <row r="888">
      <c r="B888" s="114"/>
      <c r="C888" s="89"/>
      <c r="D888" s="104"/>
    </row>
    <row r="889">
      <c r="B889" s="114"/>
      <c r="C889" s="89"/>
      <c r="D889" s="104"/>
    </row>
    <row r="890">
      <c r="B890" s="114"/>
      <c r="C890" s="89"/>
      <c r="D890" s="104"/>
    </row>
    <row r="891">
      <c r="B891" s="114"/>
      <c r="C891" s="89"/>
      <c r="D891" s="104"/>
    </row>
    <row r="892">
      <c r="B892" s="114"/>
      <c r="C892" s="89"/>
      <c r="D892" s="104"/>
    </row>
    <row r="893">
      <c r="B893" s="114"/>
      <c r="C893" s="89"/>
      <c r="D893" s="104"/>
    </row>
    <row r="894">
      <c r="B894" s="114"/>
      <c r="C894" s="89"/>
      <c r="D894" s="104"/>
    </row>
    <row r="895">
      <c r="B895" s="114"/>
      <c r="C895" s="89"/>
      <c r="D895" s="104"/>
    </row>
    <row r="896">
      <c r="B896" s="114"/>
      <c r="C896" s="89"/>
      <c r="D896" s="104"/>
    </row>
    <row r="897">
      <c r="B897" s="114"/>
      <c r="C897" s="89"/>
      <c r="D897" s="104"/>
    </row>
    <row r="898">
      <c r="B898" s="114"/>
      <c r="C898" s="89"/>
      <c r="D898" s="104"/>
    </row>
    <row r="899">
      <c r="B899" s="114"/>
      <c r="C899" s="89"/>
      <c r="D899" s="104"/>
    </row>
    <row r="900">
      <c r="B900" s="114"/>
      <c r="C900" s="89"/>
      <c r="D900" s="104"/>
    </row>
    <row r="901">
      <c r="B901" s="114"/>
      <c r="C901" s="89"/>
      <c r="D901" s="104"/>
    </row>
    <row r="902">
      <c r="B902" s="114"/>
      <c r="C902" s="89"/>
      <c r="D902" s="104"/>
    </row>
    <row r="903">
      <c r="B903" s="114"/>
      <c r="C903" s="89"/>
      <c r="D903" s="104"/>
    </row>
    <row r="904">
      <c r="B904" s="114"/>
      <c r="C904" s="89"/>
      <c r="D904" s="104"/>
    </row>
    <row r="905">
      <c r="B905" s="114"/>
      <c r="C905" s="89"/>
      <c r="D905" s="104"/>
    </row>
    <row r="906">
      <c r="B906" s="114"/>
      <c r="C906" s="89"/>
      <c r="D906" s="104"/>
    </row>
    <row r="907">
      <c r="B907" s="114"/>
      <c r="C907" s="89"/>
      <c r="D907" s="104"/>
    </row>
    <row r="908">
      <c r="B908" s="114"/>
      <c r="C908" s="89"/>
      <c r="D908" s="104"/>
    </row>
    <row r="909">
      <c r="B909" s="114"/>
      <c r="C909" s="89"/>
      <c r="D909" s="104"/>
    </row>
    <row r="910">
      <c r="B910" s="114"/>
      <c r="C910" s="89"/>
      <c r="D910" s="104"/>
    </row>
    <row r="911">
      <c r="B911" s="114"/>
      <c r="C911" s="89"/>
      <c r="D911" s="104"/>
    </row>
    <row r="912">
      <c r="B912" s="114"/>
      <c r="C912" s="89"/>
      <c r="D912" s="104"/>
    </row>
    <row r="913">
      <c r="B913" s="114"/>
      <c r="C913" s="89"/>
      <c r="D913" s="104"/>
    </row>
    <row r="914">
      <c r="B914" s="114"/>
      <c r="C914" s="89"/>
      <c r="D914" s="104"/>
    </row>
    <row r="915">
      <c r="B915" s="114"/>
      <c r="C915" s="89"/>
      <c r="D915" s="104"/>
    </row>
    <row r="916">
      <c r="B916" s="114"/>
      <c r="C916" s="89"/>
      <c r="D916" s="104"/>
    </row>
    <row r="917">
      <c r="B917" s="114"/>
      <c r="C917" s="89"/>
      <c r="D917" s="104"/>
    </row>
    <row r="918">
      <c r="B918" s="114"/>
      <c r="C918" s="89"/>
      <c r="D918" s="104"/>
    </row>
    <row r="919">
      <c r="B919" s="114"/>
      <c r="C919" s="89"/>
      <c r="D919" s="104"/>
    </row>
    <row r="920">
      <c r="B920" s="114"/>
      <c r="C920" s="89"/>
      <c r="D920" s="104"/>
    </row>
    <row r="921">
      <c r="B921" s="114"/>
      <c r="C921" s="89"/>
      <c r="D921" s="104"/>
    </row>
    <row r="922">
      <c r="B922" s="114"/>
      <c r="C922" s="89"/>
      <c r="D922" s="104"/>
    </row>
    <row r="923">
      <c r="B923" s="114"/>
      <c r="C923" s="89"/>
      <c r="D923" s="104"/>
    </row>
    <row r="924">
      <c r="B924" s="114"/>
      <c r="C924" s="89"/>
      <c r="D924" s="104"/>
    </row>
    <row r="925">
      <c r="B925" s="114"/>
      <c r="C925" s="89"/>
      <c r="D925" s="104"/>
    </row>
    <row r="926">
      <c r="B926" s="114"/>
      <c r="C926" s="89"/>
      <c r="D926" s="104"/>
    </row>
    <row r="927">
      <c r="B927" s="114"/>
      <c r="C927" s="89"/>
      <c r="D927" s="104"/>
    </row>
    <row r="928">
      <c r="B928" s="114"/>
      <c r="C928" s="89"/>
      <c r="D928" s="104"/>
    </row>
    <row r="929">
      <c r="B929" s="114"/>
      <c r="C929" s="89"/>
      <c r="D929" s="104"/>
    </row>
    <row r="930">
      <c r="B930" s="114"/>
      <c r="C930" s="89"/>
      <c r="D930" s="104"/>
    </row>
    <row r="931">
      <c r="B931" s="114"/>
      <c r="C931" s="89"/>
      <c r="D931" s="104"/>
    </row>
    <row r="932">
      <c r="B932" s="114"/>
      <c r="C932" s="89"/>
      <c r="D932" s="104"/>
    </row>
    <row r="933">
      <c r="B933" s="114"/>
      <c r="C933" s="89"/>
      <c r="D933" s="104"/>
    </row>
    <row r="934">
      <c r="B934" s="114"/>
      <c r="C934" s="89"/>
      <c r="D934" s="104"/>
    </row>
    <row r="935">
      <c r="B935" s="114"/>
      <c r="C935" s="89"/>
      <c r="D935" s="104"/>
    </row>
    <row r="936">
      <c r="B936" s="114"/>
      <c r="C936" s="89"/>
      <c r="D936" s="104"/>
    </row>
    <row r="937">
      <c r="B937" s="114"/>
      <c r="C937" s="89"/>
      <c r="D937" s="104"/>
    </row>
    <row r="938">
      <c r="B938" s="114"/>
      <c r="C938" s="89"/>
      <c r="D938" s="104"/>
    </row>
    <row r="939">
      <c r="B939" s="114"/>
      <c r="C939" s="89"/>
      <c r="D939" s="104"/>
    </row>
    <row r="940">
      <c r="B940" s="114"/>
      <c r="C940" s="89"/>
      <c r="D940" s="104"/>
    </row>
    <row r="941">
      <c r="B941" s="114"/>
      <c r="C941" s="89"/>
      <c r="D941" s="104"/>
    </row>
    <row r="942">
      <c r="B942" s="114"/>
      <c r="C942" s="89"/>
      <c r="D942" s="104"/>
    </row>
    <row r="943">
      <c r="B943" s="114"/>
      <c r="C943" s="89"/>
      <c r="D943" s="104"/>
    </row>
    <row r="944">
      <c r="B944" s="114"/>
      <c r="C944" s="89"/>
      <c r="D944" s="104"/>
    </row>
    <row r="945">
      <c r="B945" s="114"/>
      <c r="C945" s="89"/>
      <c r="D945" s="104"/>
    </row>
    <row r="946">
      <c r="B946" s="114"/>
      <c r="C946" s="89"/>
      <c r="D946" s="104"/>
    </row>
    <row r="947">
      <c r="B947" s="114"/>
      <c r="C947" s="89"/>
      <c r="D947" s="104"/>
    </row>
    <row r="948">
      <c r="B948" s="114"/>
      <c r="C948" s="89"/>
      <c r="D948" s="104"/>
    </row>
    <row r="949">
      <c r="B949" s="114"/>
      <c r="C949" s="89"/>
      <c r="D949" s="104"/>
    </row>
    <row r="950">
      <c r="B950" s="114"/>
      <c r="C950" s="89"/>
      <c r="D950" s="104"/>
    </row>
    <row r="951">
      <c r="B951" s="114"/>
      <c r="C951" s="89"/>
      <c r="D951" s="104"/>
    </row>
    <row r="952">
      <c r="B952" s="114"/>
      <c r="C952" s="89"/>
      <c r="D952" s="104"/>
    </row>
    <row r="953">
      <c r="B953" s="114"/>
      <c r="C953" s="89"/>
      <c r="D953" s="104"/>
    </row>
    <row r="954">
      <c r="B954" s="114"/>
      <c r="C954" s="89"/>
      <c r="D954" s="104"/>
    </row>
    <row r="955">
      <c r="B955" s="114"/>
      <c r="C955" s="89"/>
      <c r="D955" s="104"/>
    </row>
    <row r="956">
      <c r="B956" s="114"/>
      <c r="C956" s="89"/>
      <c r="D956" s="104"/>
    </row>
    <row r="957">
      <c r="B957" s="114"/>
      <c r="C957" s="89"/>
      <c r="D957" s="104"/>
    </row>
    <row r="958">
      <c r="B958" s="114"/>
      <c r="C958" s="89"/>
      <c r="D958" s="104"/>
    </row>
    <row r="959">
      <c r="B959" s="114"/>
      <c r="C959" s="89"/>
      <c r="D959" s="104"/>
    </row>
    <row r="960">
      <c r="B960" s="114"/>
      <c r="C960" s="89"/>
      <c r="D960" s="104"/>
    </row>
    <row r="961">
      <c r="B961" s="114"/>
      <c r="C961" s="89"/>
      <c r="D961" s="104"/>
    </row>
    <row r="962">
      <c r="B962" s="114"/>
      <c r="C962" s="89"/>
      <c r="D962" s="104"/>
    </row>
    <row r="963">
      <c r="B963" s="114"/>
      <c r="C963" s="89"/>
      <c r="D963" s="104"/>
    </row>
    <row r="964">
      <c r="B964" s="114"/>
      <c r="C964" s="89"/>
      <c r="D964" s="104"/>
    </row>
    <row r="965">
      <c r="B965" s="114"/>
      <c r="C965" s="89"/>
      <c r="D965" s="104"/>
    </row>
    <row r="966">
      <c r="B966" s="114"/>
      <c r="C966" s="89"/>
      <c r="D966" s="104"/>
    </row>
    <row r="967">
      <c r="B967" s="114"/>
      <c r="C967" s="89"/>
      <c r="D967" s="104"/>
    </row>
    <row r="968">
      <c r="B968" s="114"/>
      <c r="C968" s="89"/>
      <c r="D968" s="104"/>
    </row>
    <row r="969">
      <c r="B969" s="114"/>
      <c r="C969" s="89"/>
      <c r="D969" s="104"/>
    </row>
    <row r="970">
      <c r="B970" s="114"/>
      <c r="C970" s="89"/>
      <c r="D970" s="104"/>
    </row>
    <row r="971">
      <c r="B971" s="114"/>
      <c r="C971" s="89"/>
      <c r="D971" s="104"/>
    </row>
    <row r="972">
      <c r="B972" s="114"/>
      <c r="C972" s="89"/>
      <c r="D972" s="104"/>
    </row>
    <row r="973">
      <c r="B973" s="114"/>
      <c r="C973" s="89"/>
      <c r="D973" s="104"/>
    </row>
    <row r="974">
      <c r="B974" s="114"/>
      <c r="C974" s="89"/>
      <c r="D974" s="104"/>
    </row>
    <row r="975">
      <c r="B975" s="114"/>
      <c r="C975" s="89"/>
      <c r="D975" s="104"/>
    </row>
    <row r="976">
      <c r="B976" s="114"/>
      <c r="C976" s="89"/>
      <c r="D976" s="104"/>
    </row>
    <row r="977">
      <c r="B977" s="114"/>
      <c r="C977" s="89"/>
      <c r="D977" s="104"/>
    </row>
    <row r="978">
      <c r="B978" s="114"/>
      <c r="C978" s="89"/>
      <c r="D978" s="104"/>
    </row>
    <row r="979">
      <c r="B979" s="114"/>
      <c r="C979" s="89"/>
      <c r="D979" s="104"/>
    </row>
    <row r="980">
      <c r="B980" s="114"/>
      <c r="C980" s="89"/>
      <c r="D980" s="104"/>
    </row>
    <row r="981">
      <c r="B981" s="114"/>
      <c r="C981" s="89"/>
      <c r="D981" s="104"/>
    </row>
    <row r="982">
      <c r="B982" s="114"/>
      <c r="C982" s="89"/>
      <c r="D982" s="104"/>
    </row>
    <row r="983">
      <c r="B983" s="114"/>
      <c r="C983" s="89"/>
      <c r="D983" s="104"/>
    </row>
    <row r="984">
      <c r="B984" s="114"/>
      <c r="C984" s="89"/>
      <c r="D984" s="104"/>
    </row>
    <row r="985">
      <c r="B985" s="114"/>
      <c r="C985" s="89"/>
      <c r="D985" s="104"/>
    </row>
    <row r="986">
      <c r="B986" s="114"/>
      <c r="C986" s="89"/>
      <c r="D986" s="104"/>
    </row>
    <row r="987">
      <c r="B987" s="114"/>
      <c r="C987" s="89"/>
      <c r="D987" s="104"/>
    </row>
    <row r="988">
      <c r="B988" s="114"/>
      <c r="C988" s="89"/>
      <c r="D988" s="104"/>
    </row>
    <row r="989">
      <c r="B989" s="114"/>
      <c r="C989" s="89"/>
      <c r="D989" s="104"/>
    </row>
    <row r="990">
      <c r="B990" s="114"/>
      <c r="C990" s="89"/>
      <c r="D990" s="104"/>
    </row>
    <row r="991">
      <c r="B991" s="114"/>
      <c r="C991" s="89"/>
      <c r="D991" s="104"/>
    </row>
    <row r="992">
      <c r="B992" s="114"/>
      <c r="C992" s="89"/>
      <c r="D992" s="104"/>
    </row>
    <row r="993">
      <c r="B993" s="114"/>
      <c r="C993" s="89"/>
      <c r="D993" s="104"/>
    </row>
    <row r="994">
      <c r="B994" s="114"/>
      <c r="C994" s="89"/>
      <c r="D994" s="104"/>
    </row>
    <row r="995">
      <c r="B995" s="114"/>
      <c r="C995" s="89"/>
      <c r="D995" s="104"/>
    </row>
    <row r="996">
      <c r="B996" s="114"/>
      <c r="C996" s="89"/>
      <c r="D996" s="104"/>
    </row>
    <row r="997">
      <c r="B997" s="114"/>
      <c r="C997" s="89"/>
      <c r="D997" s="104"/>
    </row>
    <row r="998">
      <c r="B998" s="114"/>
      <c r="C998" s="89"/>
      <c r="D998" s="104"/>
    </row>
    <row r="999">
      <c r="B999" s="114"/>
      <c r="C999" s="89"/>
      <c r="D999" s="104"/>
    </row>
    <row r="1000">
      <c r="B1000" s="114"/>
      <c r="C1000" s="89"/>
      <c r="D1000" s="104"/>
    </row>
    <row r="1001">
      <c r="B1001" s="114"/>
      <c r="C1001" s="89"/>
      <c r="D1001" s="104"/>
    </row>
  </sheetData>
  <mergeCells count="1">
    <mergeCell ref="A2:A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6" t="s">
        <v>0</v>
      </c>
      <c r="B1" s="18" t="s">
        <v>1</v>
      </c>
      <c r="C1" s="18" t="s">
        <v>2</v>
      </c>
      <c r="D1" s="18" t="s">
        <v>3</v>
      </c>
      <c r="E1" s="18" t="s">
        <v>4</v>
      </c>
      <c r="F1" s="18" t="s">
        <v>5</v>
      </c>
      <c r="G1" s="18" t="s">
        <v>6</v>
      </c>
    </row>
    <row r="2">
      <c r="A2" s="117">
        <v>46048.0</v>
      </c>
      <c r="B2" s="118">
        <v>6923.23</v>
      </c>
      <c r="C2" s="118">
        <v>7002.28</v>
      </c>
      <c r="D2" s="118">
        <v>6870.8</v>
      </c>
      <c r="E2" s="118">
        <v>6939.03</v>
      </c>
      <c r="F2" s="118">
        <v>6939.03</v>
      </c>
      <c r="G2" s="6">
        <v>2.938256E10</v>
      </c>
    </row>
    <row r="3">
      <c r="A3" s="22">
        <v>46041.0</v>
      </c>
      <c r="B3" s="106">
        <v>6865.24</v>
      </c>
      <c r="C3" s="106">
        <v>6934.75</v>
      </c>
      <c r="D3" s="106">
        <v>6789.05</v>
      </c>
      <c r="E3" s="106">
        <v>6915.61</v>
      </c>
      <c r="F3" s="106">
        <v>6915.61</v>
      </c>
      <c r="G3" s="9">
        <v>2.178453E10</v>
      </c>
    </row>
    <row r="4">
      <c r="A4" s="117">
        <v>46034.0</v>
      </c>
      <c r="B4" s="118">
        <v>6944.12</v>
      </c>
      <c r="C4" s="118">
        <v>6986.33</v>
      </c>
      <c r="D4" s="118">
        <v>6885.74</v>
      </c>
      <c r="E4" s="118">
        <v>6940.01</v>
      </c>
      <c r="F4" s="118">
        <v>6940.01</v>
      </c>
      <c r="G4" s="6">
        <v>2.61122E10</v>
      </c>
    </row>
    <row r="5">
      <c r="A5" s="22">
        <v>46027.0</v>
      </c>
      <c r="B5" s="106">
        <v>6892.19</v>
      </c>
      <c r="C5" s="106">
        <v>6978.36</v>
      </c>
      <c r="D5" s="106">
        <v>6891.56</v>
      </c>
      <c r="E5" s="106">
        <v>6966.28</v>
      </c>
      <c r="F5" s="106">
        <v>6966.28</v>
      </c>
      <c r="G5" s="9">
        <v>2.699319E10</v>
      </c>
    </row>
    <row r="6">
      <c r="A6" s="117">
        <v>46020.0</v>
      </c>
      <c r="B6" s="118">
        <v>6903.6</v>
      </c>
      <c r="C6" s="118">
        <v>6920.21</v>
      </c>
      <c r="D6" s="118">
        <v>6824.31</v>
      </c>
      <c r="E6" s="118">
        <v>6858.47</v>
      </c>
      <c r="F6" s="118">
        <v>6858.47</v>
      </c>
      <c r="G6" s="6">
        <v>1.429763E10</v>
      </c>
    </row>
    <row r="7">
      <c r="A7" s="22">
        <v>46013.0</v>
      </c>
      <c r="B7" s="106">
        <v>6865.21</v>
      </c>
      <c r="C7" s="106">
        <v>6945.77</v>
      </c>
      <c r="D7" s="106">
        <v>6855.74</v>
      </c>
      <c r="E7" s="106">
        <v>6929.94</v>
      </c>
      <c r="F7" s="106">
        <v>6929.94</v>
      </c>
      <c r="G7" s="9">
        <v>1.267041E10</v>
      </c>
    </row>
    <row r="8">
      <c r="A8" s="117">
        <v>46006.0</v>
      </c>
      <c r="B8" s="118">
        <v>6860.19</v>
      </c>
      <c r="C8" s="118">
        <v>6861.59</v>
      </c>
      <c r="D8" s="118">
        <v>6720.43</v>
      </c>
      <c r="E8" s="118">
        <v>6834.5</v>
      </c>
      <c r="F8" s="118">
        <v>6834.5</v>
      </c>
      <c r="G8" s="6">
        <v>2.873656E10</v>
      </c>
    </row>
    <row r="9">
      <c r="A9" s="22">
        <v>45999.0</v>
      </c>
      <c r="B9" s="106">
        <v>6875.2</v>
      </c>
      <c r="C9" s="106">
        <v>6903.46</v>
      </c>
      <c r="D9" s="106">
        <v>6801.79</v>
      </c>
      <c r="E9" s="106">
        <v>6827.41</v>
      </c>
      <c r="F9" s="106">
        <v>6827.41</v>
      </c>
      <c r="G9" s="9">
        <v>2.472297E10</v>
      </c>
    </row>
    <row r="10">
      <c r="A10" s="117">
        <v>45992.0</v>
      </c>
      <c r="B10" s="118">
        <v>6812.3</v>
      </c>
      <c r="C10" s="118">
        <v>6895.78</v>
      </c>
      <c r="D10" s="118">
        <v>6799.94</v>
      </c>
      <c r="E10" s="118">
        <v>6870.4</v>
      </c>
      <c r="F10" s="118">
        <v>6870.4</v>
      </c>
      <c r="G10" s="6">
        <v>2.368544E10</v>
      </c>
    </row>
    <row r="11">
      <c r="A11" s="22">
        <v>45985.0</v>
      </c>
      <c r="B11" s="106">
        <v>6636.54</v>
      </c>
      <c r="C11" s="106">
        <v>6850.86</v>
      </c>
      <c r="D11" s="106">
        <v>6630.7</v>
      </c>
      <c r="E11" s="106">
        <v>6849.09</v>
      </c>
      <c r="F11" s="106">
        <v>6849.09</v>
      </c>
      <c r="G11" s="9">
        <v>1.808661E10</v>
      </c>
    </row>
    <row r="12">
      <c r="A12" s="117">
        <v>45978.0</v>
      </c>
      <c r="B12" s="118">
        <v>6713.61</v>
      </c>
      <c r="C12" s="118">
        <v>6770.35</v>
      </c>
      <c r="D12" s="118">
        <v>6521.92</v>
      </c>
      <c r="E12" s="118">
        <v>6602.99</v>
      </c>
      <c r="F12" s="118">
        <v>6602.99</v>
      </c>
      <c r="G12" s="6">
        <v>2.691123E10</v>
      </c>
    </row>
    <row r="13">
      <c r="A13" s="22">
        <v>45971.0</v>
      </c>
      <c r="B13" s="106">
        <v>6785.36</v>
      </c>
      <c r="C13" s="106">
        <v>6869.91</v>
      </c>
      <c r="D13" s="106">
        <v>6646.87</v>
      </c>
      <c r="E13" s="106">
        <v>6734.11</v>
      </c>
      <c r="F13" s="106">
        <v>6734.11</v>
      </c>
      <c r="G13" s="9">
        <v>2.615953E10</v>
      </c>
    </row>
    <row r="14">
      <c r="A14" s="117">
        <v>45964.0</v>
      </c>
      <c r="B14" s="118">
        <v>6882.32</v>
      </c>
      <c r="C14" s="118">
        <v>6882.32</v>
      </c>
      <c r="D14" s="118">
        <v>6631.44</v>
      </c>
      <c r="E14" s="118">
        <v>6728.8</v>
      </c>
      <c r="F14" s="118">
        <v>6728.8</v>
      </c>
      <c r="G14" s="6">
        <v>2.97228E10</v>
      </c>
    </row>
    <row r="15">
      <c r="A15" s="22">
        <v>45957.0</v>
      </c>
      <c r="B15" s="106">
        <v>6845.46</v>
      </c>
      <c r="C15" s="106">
        <v>6920.34</v>
      </c>
      <c r="D15" s="106">
        <v>6814.26</v>
      </c>
      <c r="E15" s="106">
        <v>6840.2</v>
      </c>
      <c r="F15" s="106">
        <v>6840.2</v>
      </c>
      <c r="G15" s="9">
        <v>2.971769E10</v>
      </c>
    </row>
    <row r="16">
      <c r="A16" s="117">
        <v>45950.0</v>
      </c>
      <c r="B16" s="118">
        <v>6690.05</v>
      </c>
      <c r="C16" s="118">
        <v>6807.11</v>
      </c>
      <c r="D16" s="118">
        <v>6655.69</v>
      </c>
      <c r="E16" s="118">
        <v>6791.69</v>
      </c>
      <c r="F16" s="118">
        <v>6791.69</v>
      </c>
      <c r="G16" s="6">
        <v>2.625117E10</v>
      </c>
    </row>
    <row r="17">
      <c r="A17" s="22">
        <v>45943.0</v>
      </c>
      <c r="B17" s="106">
        <v>6622.53</v>
      </c>
      <c r="C17" s="106">
        <v>6724.12</v>
      </c>
      <c r="D17" s="106">
        <v>6555.07</v>
      </c>
      <c r="E17" s="106">
        <v>6664.01</v>
      </c>
      <c r="F17" s="106">
        <v>6664.01</v>
      </c>
      <c r="G17" s="9">
        <v>2.801024E10</v>
      </c>
    </row>
    <row r="18">
      <c r="A18" s="117">
        <v>45936.0</v>
      </c>
      <c r="B18" s="118">
        <v>6733.86</v>
      </c>
      <c r="C18" s="118">
        <v>6764.58</v>
      </c>
      <c r="D18" s="118">
        <v>6550.78</v>
      </c>
      <c r="E18" s="118">
        <v>6552.51</v>
      </c>
      <c r="F18" s="118">
        <v>6552.51</v>
      </c>
      <c r="G18" s="6">
        <v>2.851537E10</v>
      </c>
    </row>
    <row r="19">
      <c r="A19" s="22">
        <v>45929.0</v>
      </c>
      <c r="B19" s="106">
        <v>6661.58</v>
      </c>
      <c r="C19" s="106">
        <v>6750.87</v>
      </c>
      <c r="D19" s="106">
        <v>6641.0</v>
      </c>
      <c r="E19" s="106">
        <v>6715.79</v>
      </c>
      <c r="F19" s="106">
        <v>6715.79</v>
      </c>
      <c r="G19" s="9">
        <v>2.858316E10</v>
      </c>
    </row>
    <row r="20">
      <c r="A20" s="117">
        <v>45922.0</v>
      </c>
      <c r="B20" s="118">
        <v>6654.28</v>
      </c>
      <c r="C20" s="118">
        <v>6699.52</v>
      </c>
      <c r="D20" s="118">
        <v>6569.22</v>
      </c>
      <c r="E20" s="118">
        <v>6643.7</v>
      </c>
      <c r="F20" s="118">
        <v>6643.7</v>
      </c>
      <c r="G20" s="6">
        <v>2.77132E10</v>
      </c>
    </row>
    <row r="21">
      <c r="A21" s="22">
        <v>45915.0</v>
      </c>
      <c r="B21" s="106">
        <v>6603.49</v>
      </c>
      <c r="C21" s="106">
        <v>6671.82</v>
      </c>
      <c r="D21" s="106">
        <v>6551.15</v>
      </c>
      <c r="E21" s="106">
        <v>6664.36</v>
      </c>
      <c r="F21" s="106">
        <v>6664.36</v>
      </c>
      <c r="G21" s="9">
        <v>3.062823E10</v>
      </c>
    </row>
    <row r="22">
      <c r="A22" s="117">
        <v>45908.0</v>
      </c>
      <c r="B22" s="118">
        <v>6498.09</v>
      </c>
      <c r="C22" s="118">
        <v>6600.21</v>
      </c>
      <c r="D22" s="118">
        <v>6483.08</v>
      </c>
      <c r="E22" s="118">
        <v>6584.29</v>
      </c>
      <c r="F22" s="118">
        <v>6584.29</v>
      </c>
      <c r="G22" s="6">
        <v>2.533096E10</v>
      </c>
    </row>
    <row r="23">
      <c r="A23" s="22">
        <v>45901.0</v>
      </c>
      <c r="B23" s="106">
        <v>6401.51</v>
      </c>
      <c r="C23" s="106">
        <v>6532.65</v>
      </c>
      <c r="D23" s="106">
        <v>6360.58</v>
      </c>
      <c r="E23" s="106">
        <v>6481.5</v>
      </c>
      <c r="F23" s="106">
        <v>6481.5</v>
      </c>
      <c r="G23" s="9">
        <v>1.898625E10</v>
      </c>
    </row>
    <row r="24">
      <c r="A24" s="117">
        <v>45894.0</v>
      </c>
      <c r="B24" s="118">
        <v>6457.67</v>
      </c>
      <c r="C24" s="118">
        <v>6508.23</v>
      </c>
      <c r="D24" s="118">
        <v>6429.21</v>
      </c>
      <c r="E24" s="118">
        <v>6460.26</v>
      </c>
      <c r="F24" s="118">
        <v>6460.26</v>
      </c>
      <c r="G24" s="6">
        <v>2.158903E10</v>
      </c>
    </row>
    <row r="25">
      <c r="A25" s="22">
        <v>45887.0</v>
      </c>
      <c r="B25" s="106">
        <v>6445.02</v>
      </c>
      <c r="C25" s="106">
        <v>6478.89</v>
      </c>
      <c r="D25" s="106">
        <v>6343.86</v>
      </c>
      <c r="E25" s="106">
        <v>6466.91</v>
      </c>
      <c r="F25" s="106">
        <v>6466.91</v>
      </c>
      <c r="G25" s="9">
        <v>2.207054E10</v>
      </c>
    </row>
    <row r="26">
      <c r="A26" s="117">
        <v>45880.0</v>
      </c>
      <c r="B26" s="118">
        <v>6389.67</v>
      </c>
      <c r="C26" s="118">
        <v>6481.34</v>
      </c>
      <c r="D26" s="118">
        <v>6364.06</v>
      </c>
      <c r="E26" s="118">
        <v>6449.8</v>
      </c>
      <c r="F26" s="118">
        <v>6449.8</v>
      </c>
      <c r="G26" s="6">
        <v>2.402076E10</v>
      </c>
    </row>
    <row r="27">
      <c r="A27" s="22">
        <v>45873.0</v>
      </c>
      <c r="B27" s="106">
        <v>6271.71</v>
      </c>
      <c r="C27" s="106">
        <v>6395.16</v>
      </c>
      <c r="D27" s="106">
        <v>6271.71</v>
      </c>
      <c r="E27" s="106">
        <v>6389.45</v>
      </c>
      <c r="F27" s="106">
        <v>6389.45</v>
      </c>
      <c r="G27" s="9">
        <v>2.584455E10</v>
      </c>
    </row>
    <row r="28">
      <c r="A28" s="117">
        <v>45866.0</v>
      </c>
      <c r="B28" s="118">
        <v>6397.69</v>
      </c>
      <c r="C28" s="118">
        <v>6427.02</v>
      </c>
      <c r="D28" s="118">
        <v>6212.69</v>
      </c>
      <c r="E28" s="118">
        <v>6238.01</v>
      </c>
      <c r="F28" s="118">
        <v>6238.01</v>
      </c>
      <c r="G28" s="6">
        <v>2.692104E10</v>
      </c>
    </row>
    <row r="29">
      <c r="A29" s="22">
        <v>45859.0</v>
      </c>
      <c r="B29" s="106">
        <v>6304.74</v>
      </c>
      <c r="C29" s="106">
        <v>6395.82</v>
      </c>
      <c r="D29" s="106">
        <v>6281.71</v>
      </c>
      <c r="E29" s="106">
        <v>6388.64</v>
      </c>
      <c r="F29" s="106">
        <v>6388.64</v>
      </c>
      <c r="G29" s="9">
        <v>2.606883E10</v>
      </c>
    </row>
    <row r="30">
      <c r="A30" s="117">
        <v>45852.0</v>
      </c>
      <c r="B30" s="118">
        <v>6255.15</v>
      </c>
      <c r="C30" s="118">
        <v>6315.61</v>
      </c>
      <c r="D30" s="118">
        <v>6201.59</v>
      </c>
      <c r="E30" s="118">
        <v>6296.79</v>
      </c>
      <c r="F30" s="118">
        <v>6296.79</v>
      </c>
      <c r="G30" s="6">
        <v>2.573037E10</v>
      </c>
    </row>
    <row r="31">
      <c r="A31" s="22">
        <v>45845.0</v>
      </c>
      <c r="B31" s="106">
        <v>6259.04</v>
      </c>
      <c r="C31" s="106">
        <v>6290.22</v>
      </c>
      <c r="D31" s="106">
        <v>6201.0</v>
      </c>
      <c r="E31" s="106">
        <v>6259.75</v>
      </c>
      <c r="F31" s="106">
        <v>6259.75</v>
      </c>
      <c r="G31" s="9">
        <v>2.581267E10</v>
      </c>
    </row>
    <row r="32">
      <c r="A32" s="117">
        <v>45838.0</v>
      </c>
      <c r="B32" s="118">
        <v>6193.36</v>
      </c>
      <c r="C32" s="118">
        <v>6284.65</v>
      </c>
      <c r="D32" s="118">
        <v>6174.97</v>
      </c>
      <c r="E32" s="118">
        <v>6279.35</v>
      </c>
      <c r="F32" s="118">
        <v>6279.35</v>
      </c>
      <c r="G32" s="6">
        <v>2.108203E10</v>
      </c>
    </row>
    <row r="33">
      <c r="A33" s="22">
        <v>45831.0</v>
      </c>
      <c r="B33" s="106">
        <v>5969.67</v>
      </c>
      <c r="C33" s="106">
        <v>6187.68</v>
      </c>
      <c r="D33" s="106">
        <v>5943.23</v>
      </c>
      <c r="E33" s="106">
        <v>6173.07</v>
      </c>
      <c r="F33" s="106">
        <v>6173.07</v>
      </c>
      <c r="G33" s="9">
        <v>2.940929E10</v>
      </c>
    </row>
    <row r="34">
      <c r="A34" s="117">
        <v>45824.0</v>
      </c>
      <c r="B34" s="118">
        <v>6004.0</v>
      </c>
      <c r="C34" s="118">
        <v>6050.83</v>
      </c>
      <c r="D34" s="118">
        <v>5952.56</v>
      </c>
      <c r="E34" s="118">
        <v>5967.84</v>
      </c>
      <c r="F34" s="118">
        <v>5967.84</v>
      </c>
      <c r="G34" s="6">
        <v>2.262538E10</v>
      </c>
    </row>
    <row r="35">
      <c r="A35" s="22">
        <v>45817.0</v>
      </c>
      <c r="B35" s="106">
        <v>6004.63</v>
      </c>
      <c r="C35" s="106">
        <v>6059.4</v>
      </c>
      <c r="D35" s="106">
        <v>5963.21</v>
      </c>
      <c r="E35" s="106">
        <v>5976.97</v>
      </c>
      <c r="F35" s="106">
        <v>5976.97</v>
      </c>
      <c r="G35" s="9">
        <v>2.45652E10</v>
      </c>
    </row>
    <row r="36">
      <c r="A36" s="117">
        <v>45810.0</v>
      </c>
      <c r="B36" s="118">
        <v>5896.68</v>
      </c>
      <c r="C36" s="118">
        <v>6016.87</v>
      </c>
      <c r="D36" s="118">
        <v>5861.43</v>
      </c>
      <c r="E36" s="118">
        <v>6000.36</v>
      </c>
      <c r="F36" s="118">
        <v>6000.36</v>
      </c>
      <c r="G36" s="6">
        <v>2.407353E10</v>
      </c>
    </row>
    <row r="37">
      <c r="A37" s="24">
        <v>45803.0</v>
      </c>
      <c r="B37" s="106">
        <v>5854.07</v>
      </c>
      <c r="C37" s="106">
        <v>5943.13</v>
      </c>
      <c r="D37" s="106">
        <v>5843.66</v>
      </c>
      <c r="E37" s="106">
        <v>5911.69</v>
      </c>
      <c r="F37" s="106">
        <v>5911.69</v>
      </c>
      <c r="G37" s="9">
        <v>2.097972E10</v>
      </c>
    </row>
    <row r="38">
      <c r="A38" s="119">
        <v>45796.0</v>
      </c>
      <c r="B38" s="118">
        <v>5902.88</v>
      </c>
      <c r="C38" s="118">
        <v>5968.61</v>
      </c>
      <c r="D38" s="118">
        <v>5767.41</v>
      </c>
      <c r="E38" s="118">
        <v>5802.82</v>
      </c>
      <c r="F38" s="118">
        <v>5802.82</v>
      </c>
      <c r="G38" s="6">
        <v>2.363498E10</v>
      </c>
    </row>
    <row r="39">
      <c r="A39" s="24">
        <v>45789.0</v>
      </c>
      <c r="B39" s="106">
        <v>5807.2</v>
      </c>
      <c r="C39" s="106">
        <v>5958.62</v>
      </c>
      <c r="D39" s="106">
        <v>5786.08</v>
      </c>
      <c r="E39" s="106">
        <v>5958.38</v>
      </c>
      <c r="F39" s="106">
        <v>5958.38</v>
      </c>
      <c r="G39" s="9">
        <v>2.660646E10</v>
      </c>
    </row>
    <row r="40">
      <c r="A40" s="119">
        <v>45782.0</v>
      </c>
      <c r="B40" s="118">
        <v>5655.32</v>
      </c>
      <c r="C40" s="118">
        <v>5720.1</v>
      </c>
      <c r="D40" s="118">
        <v>5578.64</v>
      </c>
      <c r="E40" s="118">
        <v>5659.91</v>
      </c>
      <c r="F40" s="118">
        <v>5659.91</v>
      </c>
      <c r="G40" s="6">
        <v>2.433545E10</v>
      </c>
    </row>
    <row r="41">
      <c r="A41" s="22">
        <v>45775.0</v>
      </c>
      <c r="B41" s="106">
        <v>5529.22</v>
      </c>
      <c r="C41" s="106">
        <v>5700.7</v>
      </c>
      <c r="D41" s="106">
        <v>5433.24</v>
      </c>
      <c r="E41" s="106">
        <v>5686.67</v>
      </c>
      <c r="F41" s="106">
        <v>5686.67</v>
      </c>
      <c r="G41" s="9">
        <v>2.424417E10</v>
      </c>
    </row>
    <row r="42">
      <c r="A42" s="117">
        <v>45768.0</v>
      </c>
      <c r="B42" s="118">
        <v>5232.94</v>
      </c>
      <c r="C42" s="118">
        <v>5528.11</v>
      </c>
      <c r="D42" s="118">
        <v>5101.63</v>
      </c>
      <c r="E42" s="118">
        <v>5525.21</v>
      </c>
      <c r="F42" s="118">
        <v>5525.21</v>
      </c>
      <c r="G42" s="6">
        <v>2.319897E10</v>
      </c>
    </row>
    <row r="43">
      <c r="A43" s="22">
        <v>45761.0</v>
      </c>
      <c r="B43" s="106">
        <v>5441.96</v>
      </c>
      <c r="C43" s="106">
        <v>5459.46</v>
      </c>
      <c r="D43" s="106">
        <v>5220.79</v>
      </c>
      <c r="E43" s="106">
        <v>5282.7</v>
      </c>
      <c r="F43" s="106">
        <v>5282.7</v>
      </c>
      <c r="G43" s="9">
        <v>1.867118E10</v>
      </c>
    </row>
    <row r="44">
      <c r="A44" s="117">
        <v>45754.0</v>
      </c>
      <c r="B44" s="118">
        <v>4953.79</v>
      </c>
      <c r="C44" s="118">
        <v>5481.34</v>
      </c>
      <c r="D44" s="118">
        <v>4835.04</v>
      </c>
      <c r="E44" s="118">
        <v>5363.36</v>
      </c>
      <c r="F44" s="118">
        <v>5363.36</v>
      </c>
      <c r="G44" s="6">
        <v>3.786941E10</v>
      </c>
    </row>
    <row r="45">
      <c r="A45" s="22">
        <v>45747.0</v>
      </c>
      <c r="B45" s="106">
        <v>5527.91</v>
      </c>
      <c r="C45" s="106">
        <v>5695.31</v>
      </c>
      <c r="D45" s="106">
        <v>5069.9</v>
      </c>
      <c r="E45" s="106">
        <v>5074.08</v>
      </c>
      <c r="F45" s="106">
        <v>5074.08</v>
      </c>
      <c r="G45" s="9">
        <v>2.999955E10</v>
      </c>
    </row>
    <row r="46">
      <c r="A46" s="117">
        <v>45740.0</v>
      </c>
      <c r="B46" s="118">
        <v>5718.08</v>
      </c>
      <c r="C46" s="118">
        <v>5786.95</v>
      </c>
      <c r="D46" s="118">
        <v>5572.42</v>
      </c>
      <c r="E46" s="118">
        <v>5580.94</v>
      </c>
      <c r="F46" s="118">
        <v>5580.94</v>
      </c>
      <c r="G46" s="6">
        <v>2.208526E10</v>
      </c>
    </row>
    <row r="47">
      <c r="A47" s="22">
        <v>45733.0</v>
      </c>
      <c r="B47" s="106">
        <v>5635.6</v>
      </c>
      <c r="C47" s="106">
        <v>5715.33</v>
      </c>
      <c r="D47" s="106">
        <v>5597.76</v>
      </c>
      <c r="E47" s="106">
        <v>5667.56</v>
      </c>
      <c r="F47" s="106">
        <v>5667.56</v>
      </c>
      <c r="G47" s="9">
        <v>2.840401E10</v>
      </c>
    </row>
    <row r="48">
      <c r="A48" s="117">
        <v>45726.0</v>
      </c>
      <c r="B48" s="118">
        <v>5705.37</v>
      </c>
      <c r="C48" s="118">
        <v>5705.37</v>
      </c>
      <c r="D48" s="118">
        <v>5504.65</v>
      </c>
      <c r="E48" s="118">
        <v>5638.94</v>
      </c>
      <c r="F48" s="118">
        <v>5638.94</v>
      </c>
      <c r="G48" s="6">
        <v>2.77326E10</v>
      </c>
    </row>
    <row r="49">
      <c r="A49" s="22">
        <v>45719.0</v>
      </c>
      <c r="B49" s="106">
        <v>5968.33</v>
      </c>
      <c r="C49" s="106">
        <v>5986.09</v>
      </c>
      <c r="D49" s="106">
        <v>5666.29</v>
      </c>
      <c r="E49" s="106">
        <v>5770.2</v>
      </c>
      <c r="F49" s="106">
        <v>5770.2</v>
      </c>
      <c r="G49" s="9">
        <v>2.790815E10</v>
      </c>
    </row>
    <row r="50">
      <c r="A50" s="117">
        <v>45712.0</v>
      </c>
      <c r="B50" s="118">
        <v>6026.69</v>
      </c>
      <c r="C50" s="118">
        <v>6043.65</v>
      </c>
      <c r="D50" s="118">
        <v>5837.66</v>
      </c>
      <c r="E50" s="118">
        <v>5954.5</v>
      </c>
      <c r="F50" s="118">
        <v>5954.5</v>
      </c>
      <c r="G50" s="6">
        <v>2.673321E10</v>
      </c>
    </row>
    <row r="51">
      <c r="A51" s="22">
        <v>45705.0</v>
      </c>
      <c r="B51" s="106">
        <v>6121.6</v>
      </c>
      <c r="C51" s="106">
        <v>6147.43</v>
      </c>
      <c r="D51" s="106">
        <v>6008.56</v>
      </c>
      <c r="E51" s="106">
        <v>6013.13</v>
      </c>
      <c r="F51" s="106">
        <v>6013.13</v>
      </c>
      <c r="G51" s="9">
        <v>1.949556E10</v>
      </c>
    </row>
    <row r="52">
      <c r="A52" s="117">
        <v>45698.0</v>
      </c>
      <c r="B52" s="118">
        <v>6046.4</v>
      </c>
      <c r="C52" s="118">
        <v>6127.47</v>
      </c>
      <c r="D52" s="118">
        <v>6003.0</v>
      </c>
      <c r="E52" s="118">
        <v>6114.63</v>
      </c>
      <c r="F52" s="118">
        <v>6114.63</v>
      </c>
      <c r="G52" s="6">
        <v>2.251059E10</v>
      </c>
    </row>
    <row r="53">
      <c r="A53" s="22">
        <v>45691.0</v>
      </c>
      <c r="B53" s="106">
        <v>5969.65</v>
      </c>
      <c r="C53" s="106">
        <v>6101.28</v>
      </c>
      <c r="D53" s="106">
        <v>5923.93</v>
      </c>
      <c r="E53" s="106">
        <v>6025.99</v>
      </c>
      <c r="F53" s="106">
        <v>6025.99</v>
      </c>
      <c r="G53" s="9">
        <v>2.357764E10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0" t="s">
        <v>63</v>
      </c>
    </row>
    <row r="2">
      <c r="A2" s="121" t="s">
        <v>64</v>
      </c>
      <c r="B2" s="122"/>
      <c r="C2" s="122"/>
      <c r="D2" s="122"/>
      <c r="E2" s="122"/>
      <c r="F2" s="122"/>
      <c r="G2" s="123"/>
    </row>
    <row r="3">
      <c r="A3" s="124"/>
      <c r="G3" s="125"/>
    </row>
    <row r="4">
      <c r="A4" s="124"/>
      <c r="G4" s="125"/>
    </row>
    <row r="5" ht="7.5" customHeight="1">
      <c r="A5" s="124"/>
      <c r="G5" s="125"/>
    </row>
    <row r="6" ht="3.0" customHeight="1">
      <c r="A6" s="126"/>
      <c r="B6" s="127"/>
      <c r="C6" s="127"/>
      <c r="D6" s="127"/>
      <c r="E6" s="127"/>
      <c r="F6" s="127"/>
      <c r="G6" s="128"/>
    </row>
    <row r="7">
      <c r="A7" s="121" t="s">
        <v>65</v>
      </c>
      <c r="B7" s="122"/>
      <c r="C7" s="122"/>
      <c r="D7" s="122"/>
      <c r="E7" s="122"/>
      <c r="F7" s="122"/>
      <c r="G7" s="123"/>
    </row>
    <row r="8">
      <c r="A8" s="124"/>
      <c r="G8" s="125"/>
    </row>
    <row r="9" ht="13.5" customHeight="1">
      <c r="A9" s="126"/>
      <c r="B9" s="127"/>
      <c r="C9" s="127"/>
      <c r="D9" s="127"/>
      <c r="E9" s="127"/>
      <c r="F9" s="127"/>
      <c r="G9" s="128"/>
    </row>
    <row r="10">
      <c r="A10" s="121" t="s">
        <v>66</v>
      </c>
      <c r="B10" s="122"/>
      <c r="C10" s="122"/>
      <c r="D10" s="122"/>
      <c r="E10" s="122"/>
      <c r="F10" s="122"/>
      <c r="G10" s="123"/>
    </row>
    <row r="11">
      <c r="A11" s="124"/>
      <c r="G11" s="125"/>
    </row>
    <row r="12" ht="25.5" customHeight="1">
      <c r="A12" s="126"/>
      <c r="B12" s="127"/>
      <c r="C12" s="127"/>
      <c r="D12" s="127"/>
      <c r="E12" s="127"/>
      <c r="F12" s="127"/>
      <c r="G12" s="128"/>
    </row>
    <row r="13">
      <c r="A13" s="121" t="s">
        <v>67</v>
      </c>
      <c r="B13" s="122"/>
      <c r="C13" s="122"/>
      <c r="D13" s="122"/>
      <c r="E13" s="122"/>
      <c r="F13" s="122"/>
      <c r="G13" s="123"/>
    </row>
    <row r="14">
      <c r="A14" s="124"/>
      <c r="G14" s="125"/>
    </row>
    <row r="15">
      <c r="A15" s="126"/>
      <c r="B15" s="127"/>
      <c r="C15" s="127"/>
      <c r="D15" s="127"/>
      <c r="E15" s="127"/>
      <c r="F15" s="127"/>
      <c r="G15" s="128"/>
    </row>
    <row r="16">
      <c r="A16" s="121" t="s">
        <v>68</v>
      </c>
      <c r="B16" s="122"/>
      <c r="C16" s="122"/>
      <c r="D16" s="122"/>
      <c r="E16" s="122"/>
      <c r="F16" s="122"/>
      <c r="G16" s="123"/>
    </row>
    <row r="17">
      <c r="A17" s="124"/>
      <c r="G17" s="125"/>
    </row>
    <row r="18" ht="22.5" customHeight="1">
      <c r="A18" s="126"/>
      <c r="B18" s="127"/>
      <c r="C18" s="127"/>
      <c r="D18" s="127"/>
      <c r="E18" s="127"/>
      <c r="F18" s="127"/>
      <c r="G18" s="128"/>
    </row>
    <row r="19">
      <c r="A19" s="121" t="s">
        <v>69</v>
      </c>
      <c r="B19" s="122"/>
      <c r="C19" s="122"/>
      <c r="D19" s="122"/>
      <c r="E19" s="122"/>
      <c r="F19" s="122"/>
      <c r="G19" s="123"/>
    </row>
    <row r="20">
      <c r="A20" s="124"/>
      <c r="G20" s="125"/>
    </row>
    <row r="21" ht="21.75" customHeight="1">
      <c r="A21" s="126"/>
      <c r="B21" s="127"/>
      <c r="C21" s="127"/>
      <c r="D21" s="127"/>
      <c r="E21" s="127"/>
      <c r="F21" s="127"/>
      <c r="G21" s="128"/>
    </row>
  </sheetData>
  <mergeCells count="6">
    <mergeCell ref="A2:G6"/>
    <mergeCell ref="A7:G9"/>
    <mergeCell ref="A10:G12"/>
    <mergeCell ref="A13:G15"/>
    <mergeCell ref="A16:G18"/>
    <mergeCell ref="A19:G21"/>
  </mergeCells>
  <drawing r:id="rId1"/>
</worksheet>
</file>